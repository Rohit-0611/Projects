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tables/table4.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hidePivotFieldList="1"/>
  <mc:AlternateContent xmlns:mc="http://schemas.openxmlformats.org/markup-compatibility/2006">
    <mc:Choice Requires="x15">
      <x15ac:absPath xmlns:x15ac="http://schemas.microsoft.com/office/spreadsheetml/2010/11/ac" url="C:\Users\Rohit SK\Desktop\"/>
    </mc:Choice>
  </mc:AlternateContent>
  <xr:revisionPtr revIDLastSave="0" documentId="13_ncr:1_{A04BEB3E-AD8B-47D8-A968-D2C7CDD36D5A}" xr6:coauthVersionLast="47" xr6:coauthVersionMax="47" xr10:uidLastSave="{00000000-0000-0000-0000-000000000000}"/>
  <bookViews>
    <workbookView xWindow="-108" yWindow="-108" windowWidth="23256" windowHeight="12456" firstSheet="1" activeTab="5" xr2:uid="{00000000-000D-0000-FFFF-FFFF00000000}"/>
  </bookViews>
  <sheets>
    <sheet name="Menu" sheetId="1" r:id="rId1"/>
    <sheet name="Person" sheetId="2" r:id="rId2"/>
    <sheet name="Food_intake" sheetId="3" r:id="rId3"/>
    <sheet name="Pivot_Table" sheetId="7" r:id="rId4"/>
    <sheet name="Calorie_in_Take" sheetId="4" r:id="rId5"/>
    <sheet name="Pivot_chart" sheetId="6" r:id="rId6"/>
  </sheets>
  <definedNames>
    <definedName name="Slicer_Calorie__cal">#N/A</definedName>
    <definedName name="Slicer_Carbohydrates__g">#N/A</definedName>
    <definedName name="Slicer_Fats__g">#N/A</definedName>
    <definedName name="Slicer_Name">#N/A</definedName>
    <definedName name="Slicer_Proteins__g">#N/A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2" i="4" l="1"/>
  <c r="C2" i="4"/>
  <c r="D2" i="4"/>
  <c r="E2" i="4"/>
  <c r="B3" i="4"/>
  <c r="C3" i="4"/>
  <c r="D3" i="4"/>
  <c r="E3" i="4"/>
  <c r="B4" i="4"/>
  <c r="C4" i="4"/>
  <c r="D4" i="4"/>
  <c r="E4" i="4"/>
  <c r="B5" i="4"/>
  <c r="C5" i="4"/>
  <c r="D5" i="4"/>
  <c r="E5" i="4"/>
  <c r="B6" i="4"/>
  <c r="C6" i="4"/>
  <c r="D6" i="4"/>
  <c r="E6" i="4"/>
  <c r="B7" i="4"/>
  <c r="C7" i="4"/>
  <c r="D7" i="4"/>
  <c r="E7" i="4"/>
  <c r="B8" i="4"/>
  <c r="C8" i="4"/>
  <c r="D8" i="4"/>
  <c r="E8" i="4"/>
  <c r="B9" i="4"/>
  <c r="C9" i="4"/>
  <c r="D9" i="4"/>
  <c r="E9" i="4"/>
  <c r="B10" i="4"/>
  <c r="C10" i="4"/>
  <c r="D10" i="4"/>
  <c r="E10" i="4"/>
  <c r="B11" i="4"/>
  <c r="C11" i="4"/>
  <c r="D11" i="4"/>
  <c r="E11" i="4"/>
  <c r="B12" i="4"/>
  <c r="C12" i="4"/>
  <c r="D12" i="4"/>
  <c r="E12" i="4"/>
  <c r="B13" i="4"/>
  <c r="C13" i="4"/>
  <c r="D13" i="4"/>
  <c r="E13" i="4"/>
  <c r="B14" i="4"/>
  <c r="C14" i="4"/>
  <c r="D14" i="4"/>
  <c r="E14" i="4"/>
  <c r="B15" i="4"/>
  <c r="C15" i="4"/>
  <c r="D15" i="4"/>
  <c r="E15" i="4"/>
  <c r="B16" i="4"/>
  <c r="C16" i="4"/>
  <c r="D16" i="4"/>
  <c r="E16" i="4"/>
  <c r="B17" i="4"/>
  <c r="C17" i="4"/>
  <c r="D17" i="4"/>
  <c r="E17" i="4"/>
</calcChain>
</file>

<file path=xl/sharedStrings.xml><?xml version="1.0" encoding="utf-8"?>
<sst xmlns="http://schemas.openxmlformats.org/spreadsheetml/2006/main" count="216" uniqueCount="115">
  <si>
    <t>Food</t>
  </si>
  <si>
    <t>Quantity (g)</t>
  </si>
  <si>
    <t>Calorie</t>
  </si>
  <si>
    <t>Carbohydrates (g)</t>
  </si>
  <si>
    <t>Proteins (g)</t>
  </si>
  <si>
    <t>Fats (g)</t>
  </si>
  <si>
    <t>Boiled egg</t>
  </si>
  <si>
    <t>Bread</t>
  </si>
  <si>
    <t>Brown Bread Sandwich</t>
  </si>
  <si>
    <t>Butter masala</t>
  </si>
  <si>
    <t>Cereals</t>
  </si>
  <si>
    <t>Chappati</t>
  </si>
  <si>
    <t>Chicken Curry</t>
  </si>
  <si>
    <t>Chutney</t>
  </si>
  <si>
    <t>Curd</t>
  </si>
  <si>
    <t>Dosa</t>
  </si>
  <si>
    <t xml:space="preserve">Idili </t>
  </si>
  <si>
    <t>Kurma</t>
  </si>
  <si>
    <t>McAloo Tikki Burger</t>
  </si>
  <si>
    <t>McSpicy Paneer Burger</t>
  </si>
  <si>
    <t>McVeggie Burger</t>
  </si>
  <si>
    <t>Omelet</t>
  </si>
  <si>
    <t>Parotta</t>
  </si>
  <si>
    <t>Rice</t>
  </si>
  <si>
    <t>Salna</t>
  </si>
  <si>
    <t>Sambar</t>
  </si>
  <si>
    <t>Spicy Paneer Wrap</t>
  </si>
  <si>
    <t>Sprouts Curry</t>
  </si>
  <si>
    <t>Sugar</t>
  </si>
  <si>
    <t>Upma</t>
  </si>
  <si>
    <t xml:space="preserve">Latte </t>
  </si>
  <si>
    <t>Milk</t>
  </si>
  <si>
    <t>Cauliflour curry</t>
  </si>
  <si>
    <t>Column7</t>
  </si>
  <si>
    <t>Column8</t>
  </si>
  <si>
    <t>Column9</t>
  </si>
  <si>
    <t>Column10</t>
  </si>
  <si>
    <t>Name</t>
  </si>
  <si>
    <t>Age</t>
  </si>
  <si>
    <t>Weight</t>
  </si>
  <si>
    <t>Height</t>
  </si>
  <si>
    <t>Column11</t>
  </si>
  <si>
    <t>Column12</t>
  </si>
  <si>
    <t>Column13</t>
  </si>
  <si>
    <t>Column14</t>
  </si>
  <si>
    <t>Column15</t>
  </si>
  <si>
    <t>Week</t>
  </si>
  <si>
    <t>Break Fast</t>
  </si>
  <si>
    <t>Lunch</t>
  </si>
  <si>
    <t>Snacks</t>
  </si>
  <si>
    <t>Dinner</t>
  </si>
  <si>
    <t>Rohan</t>
  </si>
  <si>
    <t>Ben</t>
  </si>
  <si>
    <t>John</t>
  </si>
  <si>
    <t>Robert</t>
  </si>
  <si>
    <t>Morning_cafe</t>
  </si>
  <si>
    <t>Chappati+Chicken Curry</t>
  </si>
  <si>
    <t>Rice+Curd</t>
  </si>
  <si>
    <t>Chappati+Kurma</t>
  </si>
  <si>
    <t>Apple</t>
  </si>
  <si>
    <t>Almonds</t>
  </si>
  <si>
    <t>Omelet+Bread</t>
  </si>
  <si>
    <t>Boiled egg+Cereals</t>
  </si>
  <si>
    <t>Egg Dosa</t>
  </si>
  <si>
    <t>Egg Dosa+Chutney</t>
  </si>
  <si>
    <t>Idily+Sambar</t>
  </si>
  <si>
    <t>Rice+Curd+Cauliflour Curry</t>
  </si>
  <si>
    <t>Rice+Chicken Curry</t>
  </si>
  <si>
    <t>Rice+Sambar</t>
  </si>
  <si>
    <t>Dosa+Chicken Curry</t>
  </si>
  <si>
    <t>Rice+Curd+Omelet</t>
  </si>
  <si>
    <t>Dosa+Chutney</t>
  </si>
  <si>
    <t>Idly+Sambar</t>
  </si>
  <si>
    <t>Tea+Biscuit</t>
  </si>
  <si>
    <t>Puffs</t>
  </si>
  <si>
    <t>Samosa</t>
  </si>
  <si>
    <t>Coffee</t>
  </si>
  <si>
    <t>Spicy Egg McMuffin</t>
  </si>
  <si>
    <t>Sausage Mc Muffin</t>
  </si>
  <si>
    <t>Sausage Mc Muffin with egg</t>
  </si>
  <si>
    <t>Egg McMuffin</t>
  </si>
  <si>
    <t>2 piece Chicken Strips</t>
  </si>
  <si>
    <t>Medium Fries</t>
  </si>
  <si>
    <t>Regular Wedges</t>
  </si>
  <si>
    <t>Veg McMuffin</t>
  </si>
  <si>
    <t>Remarks</t>
  </si>
  <si>
    <t>Tea</t>
  </si>
  <si>
    <t>Biscuit</t>
  </si>
  <si>
    <t>Rohan_Week1</t>
  </si>
  <si>
    <t>Rohan_Week2</t>
  </si>
  <si>
    <t>Rohan_Week3</t>
  </si>
  <si>
    <t>Rohan_Week4</t>
  </si>
  <si>
    <t>Ben_Week1</t>
  </si>
  <si>
    <t>Ben_Week2</t>
  </si>
  <si>
    <t>Ben_Week3</t>
  </si>
  <si>
    <t>Ben_Week4</t>
  </si>
  <si>
    <t>Robert_Week1</t>
  </si>
  <si>
    <t>Robert_Week2</t>
  </si>
  <si>
    <t>Robert_Week3</t>
  </si>
  <si>
    <t>Robert_Week4</t>
  </si>
  <si>
    <t>John_Week1</t>
  </si>
  <si>
    <t>John_Week2</t>
  </si>
  <si>
    <t>John_Week3</t>
  </si>
  <si>
    <t>John_Week4</t>
  </si>
  <si>
    <t>Calorie (cal)</t>
  </si>
  <si>
    <t>Row Labels</t>
  </si>
  <si>
    <t>Grand Total</t>
  </si>
  <si>
    <t>Sum of Calorie (cal)</t>
  </si>
  <si>
    <t>Sum of Carbohydrates (g)</t>
  </si>
  <si>
    <t>Sum of Fats (g)</t>
  </si>
  <si>
    <t>Sum of Proteins (g)</t>
  </si>
  <si>
    <t>Obese Class 1</t>
  </si>
  <si>
    <t>BMI (kg/m^2)</t>
  </si>
  <si>
    <t>Normal</t>
  </si>
  <si>
    <t>OverWeight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</si>
</sst>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Century Gothic"/>
      <family val="2"/>
      <scheme val="minor"/>
    </font>
    <font>
      <sz val="11"/>
      <color theme="1"/>
      <name val="Century Gothic"/>
      <family val="2"/>
      <scheme val="minor"/>
    </font>
    <font>
      <sz val="18"/>
      <color theme="3"/>
      <name val="Century Gothic"/>
      <family val="2"/>
      <scheme val="major"/>
    </font>
    <font>
      <b/>
      <sz val="15"/>
      <color theme="3"/>
      <name val="Century Gothic"/>
      <family val="2"/>
      <scheme val="minor"/>
    </font>
    <font>
      <b/>
      <sz val="13"/>
      <color theme="3"/>
      <name val="Century Gothic"/>
      <family val="2"/>
      <scheme val="minor"/>
    </font>
    <font>
      <b/>
      <sz val="11"/>
      <color theme="3"/>
      <name val="Century Gothic"/>
      <family val="2"/>
      <scheme val="minor"/>
    </font>
    <font>
      <sz val="11"/>
      <color rgb="FF006100"/>
      <name val="Century Gothic"/>
      <family val="2"/>
      <scheme val="minor"/>
    </font>
    <font>
      <sz val="11"/>
      <color rgb="FF9C0006"/>
      <name val="Century Gothic"/>
      <family val="2"/>
      <scheme val="minor"/>
    </font>
    <font>
      <sz val="11"/>
      <color rgb="FF9C5700"/>
      <name val="Century Gothic"/>
      <family val="2"/>
      <scheme val="minor"/>
    </font>
    <font>
      <sz val="11"/>
      <color rgb="FF3F3F76"/>
      <name val="Century Gothic"/>
      <family val="2"/>
      <scheme val="minor"/>
    </font>
    <font>
      <b/>
      <sz val="11"/>
      <color rgb="FF3F3F3F"/>
      <name val="Century Gothic"/>
      <family val="2"/>
      <scheme val="minor"/>
    </font>
    <font>
      <b/>
      <sz val="11"/>
      <color rgb="FFFA7D00"/>
      <name val="Century Gothic"/>
      <family val="2"/>
      <scheme val="minor"/>
    </font>
    <font>
      <sz val="11"/>
      <color rgb="FFFA7D00"/>
      <name val="Century Gothic"/>
      <family val="2"/>
      <scheme val="minor"/>
    </font>
    <font>
      <b/>
      <sz val="11"/>
      <color theme="0"/>
      <name val="Century Gothic"/>
      <family val="2"/>
      <scheme val="minor"/>
    </font>
    <font>
      <sz val="11"/>
      <color rgb="FFFF0000"/>
      <name val="Century Gothic"/>
      <family val="2"/>
      <scheme val="minor"/>
    </font>
    <font>
      <i/>
      <sz val="11"/>
      <color rgb="FF7F7F7F"/>
      <name val="Century Gothic"/>
      <family val="2"/>
      <scheme val="minor"/>
    </font>
    <font>
      <b/>
      <sz val="11"/>
      <color theme="1"/>
      <name val="Century Gothic"/>
      <family val="2"/>
      <scheme val="minor"/>
    </font>
    <font>
      <sz val="11"/>
      <color theme="0"/>
      <name val="Century Gothic"/>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
    <xf numFmtId="0" fontId="0" fillId="0" borderId="0" xfId="0"/>
    <xf numFmtId="0" fontId="0" fillId="0" borderId="0" xfId="0" applyNumberFormat="1"/>
    <xf numFmtId="0" fontId="0" fillId="0" borderId="0" xfId="0" pivotButton="1"/>
    <xf numFmtId="0" fontId="0" fillId="0" borderId="0" xfId="0"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6">
    <dxf>
      <numFmt numFmtId="0" formatCode="General"/>
    </dxf>
    <dxf>
      <numFmt numFmtId="0" formatCode="General"/>
    </dxf>
    <dxf>
      <numFmt numFmtId="0" formatCode="General"/>
    </dxf>
    <dxf>
      <numFmt numFmtId="0" formatCode="General"/>
    </dxf>
    <dxf>
      <font>
        <color theme="0"/>
        <name val="Century Gothic"/>
        <family val="2"/>
        <scheme val="minor"/>
      </font>
      <fill>
        <patternFill>
          <bgColor theme="1"/>
        </patternFill>
      </fill>
      <border>
        <vertical/>
        <horizontal/>
      </border>
    </dxf>
    <dxf>
      <font>
        <color theme="1"/>
        <name val="Century Gothic"/>
        <family val="2"/>
        <scheme val="major"/>
      </font>
      <fill>
        <gradientFill degree="270">
          <stop position="0">
            <color theme="1"/>
          </stop>
          <stop position="1">
            <color rgb="FF36454F"/>
          </stop>
        </gradientFill>
      </fill>
      <border>
        <vertical/>
        <horizontal/>
      </border>
    </dxf>
  </dxfs>
  <tableStyles count="1" defaultTableStyle="TableStyleMedium2" defaultPivotStyle="PivotStyleLight16">
    <tableStyle name="SlicerStyleLight1 2" pivot="0" table="0" count="10" xr9:uid="{00000000-0011-0000-FFFF-FFFF00000000}">
      <tableStyleElement type="wholeTable" dxfId="5"/>
      <tableStyleElement type="headerRow" dxfId="4"/>
    </tableStyle>
  </tableStyles>
  <colors>
    <mruColors>
      <color rgb="FF99DFB2"/>
      <color rgb="FF36454F"/>
    </mruColors>
  </colors>
  <extLst>
    <ext xmlns:x14="http://schemas.microsoft.com/office/spreadsheetml/2009/9/main" uri="{46F421CA-312F-682f-3DD2-61675219B42D}">
      <x14:dxfs count="8">
        <dxf>
          <font>
            <color theme="0"/>
            <name val="Century Gothic"/>
            <family val="2"/>
            <scheme val="major"/>
          </font>
          <fill>
            <patternFill patternType="solid">
              <fgColor auto="1"/>
              <bgColor theme="1"/>
            </patternFill>
          </fill>
          <border>
            <left style="thin">
              <color rgb="FF999999"/>
            </left>
            <right style="thin">
              <color rgb="FF999999"/>
            </right>
            <top style="thin">
              <color rgb="FF999999"/>
            </top>
            <bottom style="thin">
              <color rgb="FF999999"/>
            </bottom>
            <vertical/>
            <horizontal/>
          </border>
        </dxf>
        <dxf>
          <font>
            <color theme="0"/>
            <name val="Century Gothic"/>
            <family val="2"/>
            <scheme val="major"/>
          </font>
          <fill>
            <patternFill patternType="solid">
              <fgColor auto="1"/>
              <bgColor theme="1"/>
            </patternFill>
          </fill>
          <border>
            <left style="thin">
              <color rgb="FF999999"/>
            </left>
            <right style="thin">
              <color rgb="FF999999"/>
            </right>
            <top style="thin">
              <color rgb="FF999999"/>
            </top>
            <bottom style="thin">
              <color rgb="FF999999"/>
            </bottom>
            <vertical/>
            <horizontal/>
          </border>
        </dxf>
        <dxf>
          <font>
            <color theme="0"/>
            <name val="Century Gothic"/>
            <family val="2"/>
            <scheme val="major"/>
          </font>
          <fill>
            <patternFill patternType="solid">
              <fgColor auto="1"/>
              <bgColor theme="1"/>
            </patternFill>
          </fill>
          <border>
            <left style="thin">
              <color rgb="FF999999"/>
            </left>
            <right style="thin">
              <color rgb="FF999999"/>
            </right>
            <top style="thin">
              <color rgb="FF999999"/>
            </top>
            <bottom style="thin">
              <color rgb="FF999999"/>
            </bottom>
            <vertical/>
            <horizontal/>
          </border>
        </dxf>
        <dxf>
          <font>
            <color theme="0"/>
            <name val="Century Gothic"/>
            <family val="2"/>
            <scheme val="major"/>
          </font>
          <fill>
            <patternFill patternType="solid">
              <fgColor auto="1"/>
              <bgColor theme="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99DFB2"/>
              <bgColor theme="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indexed="64"/>
              <bgColor rgb="FF99DFB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[Final_Copy_Analysis.xlsm]Pivot_Table!PivotTable1</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8245190768836829E-2"/>
          <c:y val="4.8309178743961352E-2"/>
          <c:w val="0.61030410513201983"/>
          <c:h val="0.69480637103460663"/>
        </c:manualLayout>
      </c:layout>
      <c:barChart>
        <c:barDir val="col"/>
        <c:grouping val="clustered"/>
        <c:varyColors val="0"/>
        <c:ser>
          <c:idx val="0"/>
          <c:order val="0"/>
          <c:tx>
            <c:strRef>
              <c:f>Pivot_Table!$B$3</c:f>
              <c:strCache>
                <c:ptCount val="1"/>
                <c:pt idx="0">
                  <c:v>Sum of Calorie (cal)</c:v>
                </c:pt>
              </c:strCache>
            </c:strRef>
          </c:tx>
          <c:spPr>
            <a:solidFill>
              <a:schemeClr val="accent1"/>
            </a:solidFill>
            <a:ln>
              <a:noFill/>
            </a:ln>
            <a:effectLst/>
          </c:spPr>
          <c:invertIfNegative val="0"/>
          <c:cat>
            <c:strRef>
              <c:f>Pivot_Table!$A$4:$A$20</c:f>
              <c:strCache>
                <c:ptCount val="16"/>
                <c:pt idx="0">
                  <c:v>Ben_Week1</c:v>
                </c:pt>
                <c:pt idx="1">
                  <c:v>Ben_Week2</c:v>
                </c:pt>
                <c:pt idx="2">
                  <c:v>Ben_Week3</c:v>
                </c:pt>
                <c:pt idx="3">
                  <c:v>Ben_Week4</c:v>
                </c:pt>
                <c:pt idx="4">
                  <c:v>John_Week1</c:v>
                </c:pt>
                <c:pt idx="5">
                  <c:v>John_Week2</c:v>
                </c:pt>
                <c:pt idx="6">
                  <c:v>John_Week3</c:v>
                </c:pt>
                <c:pt idx="7">
                  <c:v>John_Week4</c:v>
                </c:pt>
                <c:pt idx="8">
                  <c:v>Robert_Week1</c:v>
                </c:pt>
                <c:pt idx="9">
                  <c:v>Robert_Week2</c:v>
                </c:pt>
                <c:pt idx="10">
                  <c:v>Robert_Week3</c:v>
                </c:pt>
                <c:pt idx="11">
                  <c:v>Robert_Week4</c:v>
                </c:pt>
                <c:pt idx="12">
                  <c:v>Rohan_Week1</c:v>
                </c:pt>
                <c:pt idx="13">
                  <c:v>Rohan_Week2</c:v>
                </c:pt>
                <c:pt idx="14">
                  <c:v>Rohan_Week3</c:v>
                </c:pt>
                <c:pt idx="15">
                  <c:v>Rohan_Week4</c:v>
                </c:pt>
              </c:strCache>
            </c:strRef>
          </c:cat>
          <c:val>
            <c:numRef>
              <c:f>Pivot_Table!$B$4:$B$20</c:f>
              <c:numCache>
                <c:formatCode>General</c:formatCode>
                <c:ptCount val="16"/>
                <c:pt idx="0">
                  <c:v>1269.47</c:v>
                </c:pt>
                <c:pt idx="1">
                  <c:v>1446.89</c:v>
                </c:pt>
                <c:pt idx="2">
                  <c:v>1904.88</c:v>
                </c:pt>
                <c:pt idx="3">
                  <c:v>1312.81</c:v>
                </c:pt>
                <c:pt idx="4">
                  <c:v>1766.27</c:v>
                </c:pt>
                <c:pt idx="5">
                  <c:v>1648</c:v>
                </c:pt>
                <c:pt idx="6">
                  <c:v>848</c:v>
                </c:pt>
                <c:pt idx="7">
                  <c:v>1201</c:v>
                </c:pt>
                <c:pt idx="8">
                  <c:v>979</c:v>
                </c:pt>
                <c:pt idx="9">
                  <c:v>1153</c:v>
                </c:pt>
                <c:pt idx="10">
                  <c:v>926</c:v>
                </c:pt>
                <c:pt idx="11">
                  <c:v>1435</c:v>
                </c:pt>
                <c:pt idx="12">
                  <c:v>1766.27</c:v>
                </c:pt>
                <c:pt idx="13">
                  <c:v>1648</c:v>
                </c:pt>
                <c:pt idx="14">
                  <c:v>848</c:v>
                </c:pt>
                <c:pt idx="15">
                  <c:v>1201</c:v>
                </c:pt>
              </c:numCache>
            </c:numRef>
          </c:val>
          <c:extLst>
            <c:ext xmlns:c16="http://schemas.microsoft.com/office/drawing/2014/chart" uri="{C3380CC4-5D6E-409C-BE32-E72D297353CC}">
              <c16:uniqueId val="{00000000-A02D-4E86-A804-86E6D2D7B5B1}"/>
            </c:ext>
          </c:extLst>
        </c:ser>
        <c:ser>
          <c:idx val="1"/>
          <c:order val="1"/>
          <c:tx>
            <c:strRef>
              <c:f>Pivot_Table!$C$3</c:f>
              <c:strCache>
                <c:ptCount val="1"/>
                <c:pt idx="0">
                  <c:v>Sum of Carbohydrates (g)</c:v>
                </c:pt>
              </c:strCache>
            </c:strRef>
          </c:tx>
          <c:spPr>
            <a:solidFill>
              <a:schemeClr val="accent2"/>
            </a:solidFill>
            <a:ln>
              <a:noFill/>
            </a:ln>
            <a:effectLst/>
          </c:spPr>
          <c:invertIfNegative val="0"/>
          <c:cat>
            <c:strRef>
              <c:f>Pivot_Table!$A$4:$A$20</c:f>
              <c:strCache>
                <c:ptCount val="16"/>
                <c:pt idx="0">
                  <c:v>Ben_Week1</c:v>
                </c:pt>
                <c:pt idx="1">
                  <c:v>Ben_Week2</c:v>
                </c:pt>
                <c:pt idx="2">
                  <c:v>Ben_Week3</c:v>
                </c:pt>
                <c:pt idx="3">
                  <c:v>Ben_Week4</c:v>
                </c:pt>
                <c:pt idx="4">
                  <c:v>John_Week1</c:v>
                </c:pt>
                <c:pt idx="5">
                  <c:v>John_Week2</c:v>
                </c:pt>
                <c:pt idx="6">
                  <c:v>John_Week3</c:v>
                </c:pt>
                <c:pt idx="7">
                  <c:v>John_Week4</c:v>
                </c:pt>
                <c:pt idx="8">
                  <c:v>Robert_Week1</c:v>
                </c:pt>
                <c:pt idx="9">
                  <c:v>Robert_Week2</c:v>
                </c:pt>
                <c:pt idx="10">
                  <c:v>Robert_Week3</c:v>
                </c:pt>
                <c:pt idx="11">
                  <c:v>Robert_Week4</c:v>
                </c:pt>
                <c:pt idx="12">
                  <c:v>Rohan_Week1</c:v>
                </c:pt>
                <c:pt idx="13">
                  <c:v>Rohan_Week2</c:v>
                </c:pt>
                <c:pt idx="14">
                  <c:v>Rohan_Week3</c:v>
                </c:pt>
                <c:pt idx="15">
                  <c:v>Rohan_Week4</c:v>
                </c:pt>
              </c:strCache>
            </c:strRef>
          </c:cat>
          <c:val>
            <c:numRef>
              <c:f>Pivot_Table!$C$4:$C$20</c:f>
              <c:numCache>
                <c:formatCode>General</c:formatCode>
                <c:ptCount val="16"/>
                <c:pt idx="0">
                  <c:v>151.74</c:v>
                </c:pt>
                <c:pt idx="1">
                  <c:v>187.84</c:v>
                </c:pt>
                <c:pt idx="2">
                  <c:v>171.62</c:v>
                </c:pt>
                <c:pt idx="3">
                  <c:v>150.98000000000002</c:v>
                </c:pt>
                <c:pt idx="4">
                  <c:v>171.64</c:v>
                </c:pt>
                <c:pt idx="5">
                  <c:v>234.96999999999997</c:v>
                </c:pt>
                <c:pt idx="6">
                  <c:v>116.2</c:v>
                </c:pt>
                <c:pt idx="7">
                  <c:v>140.68</c:v>
                </c:pt>
                <c:pt idx="8">
                  <c:v>127.69999999999999</c:v>
                </c:pt>
                <c:pt idx="9">
                  <c:v>142.04</c:v>
                </c:pt>
                <c:pt idx="10">
                  <c:v>87.1</c:v>
                </c:pt>
                <c:pt idx="11">
                  <c:v>141</c:v>
                </c:pt>
                <c:pt idx="12">
                  <c:v>171.64</c:v>
                </c:pt>
                <c:pt idx="13">
                  <c:v>234.96999999999997</c:v>
                </c:pt>
                <c:pt idx="14">
                  <c:v>116.2</c:v>
                </c:pt>
                <c:pt idx="15">
                  <c:v>140.68</c:v>
                </c:pt>
              </c:numCache>
            </c:numRef>
          </c:val>
          <c:extLst>
            <c:ext xmlns:c16="http://schemas.microsoft.com/office/drawing/2014/chart" uri="{C3380CC4-5D6E-409C-BE32-E72D297353CC}">
              <c16:uniqueId val="{00000001-A02D-4E86-A804-86E6D2D7B5B1}"/>
            </c:ext>
          </c:extLst>
        </c:ser>
        <c:ser>
          <c:idx val="2"/>
          <c:order val="2"/>
          <c:tx>
            <c:strRef>
              <c:f>Pivot_Table!$D$3</c:f>
              <c:strCache>
                <c:ptCount val="1"/>
                <c:pt idx="0">
                  <c:v>Sum of Fats (g)</c:v>
                </c:pt>
              </c:strCache>
            </c:strRef>
          </c:tx>
          <c:spPr>
            <a:solidFill>
              <a:schemeClr val="accent3"/>
            </a:solidFill>
            <a:ln>
              <a:noFill/>
            </a:ln>
            <a:effectLst/>
          </c:spPr>
          <c:invertIfNegative val="0"/>
          <c:cat>
            <c:strRef>
              <c:f>Pivot_Table!$A$4:$A$20</c:f>
              <c:strCache>
                <c:ptCount val="16"/>
                <c:pt idx="0">
                  <c:v>Ben_Week1</c:v>
                </c:pt>
                <c:pt idx="1">
                  <c:v>Ben_Week2</c:v>
                </c:pt>
                <c:pt idx="2">
                  <c:v>Ben_Week3</c:v>
                </c:pt>
                <c:pt idx="3">
                  <c:v>Ben_Week4</c:v>
                </c:pt>
                <c:pt idx="4">
                  <c:v>John_Week1</c:v>
                </c:pt>
                <c:pt idx="5">
                  <c:v>John_Week2</c:v>
                </c:pt>
                <c:pt idx="6">
                  <c:v>John_Week3</c:v>
                </c:pt>
                <c:pt idx="7">
                  <c:v>John_Week4</c:v>
                </c:pt>
                <c:pt idx="8">
                  <c:v>Robert_Week1</c:v>
                </c:pt>
                <c:pt idx="9">
                  <c:v>Robert_Week2</c:v>
                </c:pt>
                <c:pt idx="10">
                  <c:v>Robert_Week3</c:v>
                </c:pt>
                <c:pt idx="11">
                  <c:v>Robert_Week4</c:v>
                </c:pt>
                <c:pt idx="12">
                  <c:v>Rohan_Week1</c:v>
                </c:pt>
                <c:pt idx="13">
                  <c:v>Rohan_Week2</c:v>
                </c:pt>
                <c:pt idx="14">
                  <c:v>Rohan_Week3</c:v>
                </c:pt>
                <c:pt idx="15">
                  <c:v>Rohan_Week4</c:v>
                </c:pt>
              </c:strCache>
            </c:strRef>
          </c:cat>
          <c:val>
            <c:numRef>
              <c:f>Pivot_Table!$D$4:$D$20</c:f>
              <c:numCache>
                <c:formatCode>General</c:formatCode>
                <c:ptCount val="16"/>
                <c:pt idx="0">
                  <c:v>47.76</c:v>
                </c:pt>
                <c:pt idx="1">
                  <c:v>56.010000000000005</c:v>
                </c:pt>
                <c:pt idx="2">
                  <c:v>61.62</c:v>
                </c:pt>
                <c:pt idx="3">
                  <c:v>52.27</c:v>
                </c:pt>
                <c:pt idx="4">
                  <c:v>70.72</c:v>
                </c:pt>
                <c:pt idx="5">
                  <c:v>71.72999999999999</c:v>
                </c:pt>
                <c:pt idx="6">
                  <c:v>50.9</c:v>
                </c:pt>
                <c:pt idx="7">
                  <c:v>69.039999999999992</c:v>
                </c:pt>
                <c:pt idx="8">
                  <c:v>52.400000000000006</c:v>
                </c:pt>
                <c:pt idx="9">
                  <c:v>56.86</c:v>
                </c:pt>
                <c:pt idx="10">
                  <c:v>67.3</c:v>
                </c:pt>
                <c:pt idx="11">
                  <c:v>66.900000000000006</c:v>
                </c:pt>
                <c:pt idx="12">
                  <c:v>70.72</c:v>
                </c:pt>
                <c:pt idx="13">
                  <c:v>71.72999999999999</c:v>
                </c:pt>
                <c:pt idx="14">
                  <c:v>50.9</c:v>
                </c:pt>
                <c:pt idx="15">
                  <c:v>69.039999999999992</c:v>
                </c:pt>
              </c:numCache>
            </c:numRef>
          </c:val>
          <c:extLst>
            <c:ext xmlns:c16="http://schemas.microsoft.com/office/drawing/2014/chart" uri="{C3380CC4-5D6E-409C-BE32-E72D297353CC}">
              <c16:uniqueId val="{00000002-A02D-4E86-A804-86E6D2D7B5B1}"/>
            </c:ext>
          </c:extLst>
        </c:ser>
        <c:ser>
          <c:idx val="3"/>
          <c:order val="3"/>
          <c:tx>
            <c:strRef>
              <c:f>Pivot_Table!$E$3</c:f>
              <c:strCache>
                <c:ptCount val="1"/>
                <c:pt idx="0">
                  <c:v>Sum of Proteins (g)</c:v>
                </c:pt>
              </c:strCache>
            </c:strRef>
          </c:tx>
          <c:spPr>
            <a:solidFill>
              <a:schemeClr val="accent4"/>
            </a:solidFill>
            <a:ln>
              <a:noFill/>
            </a:ln>
            <a:effectLst/>
          </c:spPr>
          <c:invertIfNegative val="0"/>
          <c:cat>
            <c:strRef>
              <c:f>Pivot_Table!$A$4:$A$20</c:f>
              <c:strCache>
                <c:ptCount val="16"/>
                <c:pt idx="0">
                  <c:v>Ben_Week1</c:v>
                </c:pt>
                <c:pt idx="1">
                  <c:v>Ben_Week2</c:v>
                </c:pt>
                <c:pt idx="2">
                  <c:v>Ben_Week3</c:v>
                </c:pt>
                <c:pt idx="3">
                  <c:v>Ben_Week4</c:v>
                </c:pt>
                <c:pt idx="4">
                  <c:v>John_Week1</c:v>
                </c:pt>
                <c:pt idx="5">
                  <c:v>John_Week2</c:v>
                </c:pt>
                <c:pt idx="6">
                  <c:v>John_Week3</c:v>
                </c:pt>
                <c:pt idx="7">
                  <c:v>John_Week4</c:v>
                </c:pt>
                <c:pt idx="8">
                  <c:v>Robert_Week1</c:v>
                </c:pt>
                <c:pt idx="9">
                  <c:v>Robert_Week2</c:v>
                </c:pt>
                <c:pt idx="10">
                  <c:v>Robert_Week3</c:v>
                </c:pt>
                <c:pt idx="11">
                  <c:v>Robert_Week4</c:v>
                </c:pt>
                <c:pt idx="12">
                  <c:v>Rohan_Week1</c:v>
                </c:pt>
                <c:pt idx="13">
                  <c:v>Rohan_Week2</c:v>
                </c:pt>
                <c:pt idx="14">
                  <c:v>Rohan_Week3</c:v>
                </c:pt>
                <c:pt idx="15">
                  <c:v>Rohan_Week4</c:v>
                </c:pt>
              </c:strCache>
            </c:strRef>
          </c:cat>
          <c:val>
            <c:numRef>
              <c:f>Pivot_Table!$E$4:$E$20</c:f>
              <c:numCache>
                <c:formatCode>General</c:formatCode>
                <c:ptCount val="16"/>
                <c:pt idx="0">
                  <c:v>57.230000000000004</c:v>
                </c:pt>
                <c:pt idx="1">
                  <c:v>61.169999999999995</c:v>
                </c:pt>
                <c:pt idx="2">
                  <c:v>104.41000000000001</c:v>
                </c:pt>
                <c:pt idx="3">
                  <c:v>54.09</c:v>
                </c:pt>
                <c:pt idx="4">
                  <c:v>93.05</c:v>
                </c:pt>
                <c:pt idx="5">
                  <c:v>41.330000000000005</c:v>
                </c:pt>
                <c:pt idx="6">
                  <c:v>31.090000000000003</c:v>
                </c:pt>
                <c:pt idx="7">
                  <c:v>37.61</c:v>
                </c:pt>
                <c:pt idx="8">
                  <c:v>41.2</c:v>
                </c:pt>
                <c:pt idx="9">
                  <c:v>45.56</c:v>
                </c:pt>
                <c:pt idx="10">
                  <c:v>41.29</c:v>
                </c:pt>
                <c:pt idx="11">
                  <c:v>66.59</c:v>
                </c:pt>
                <c:pt idx="12">
                  <c:v>93.05</c:v>
                </c:pt>
                <c:pt idx="13">
                  <c:v>41.330000000000005</c:v>
                </c:pt>
                <c:pt idx="14">
                  <c:v>31.090000000000003</c:v>
                </c:pt>
                <c:pt idx="15">
                  <c:v>37.61</c:v>
                </c:pt>
              </c:numCache>
            </c:numRef>
          </c:val>
          <c:extLst>
            <c:ext xmlns:c16="http://schemas.microsoft.com/office/drawing/2014/chart" uri="{C3380CC4-5D6E-409C-BE32-E72D297353CC}">
              <c16:uniqueId val="{00000003-A02D-4E86-A804-86E6D2D7B5B1}"/>
            </c:ext>
          </c:extLst>
        </c:ser>
        <c:dLbls>
          <c:showLegendKey val="0"/>
          <c:showVal val="0"/>
          <c:showCatName val="0"/>
          <c:showSerName val="0"/>
          <c:showPercent val="0"/>
          <c:showBubbleSize val="0"/>
        </c:dLbls>
        <c:gapWidth val="219"/>
        <c:overlap val="-27"/>
        <c:axId val="41160175"/>
        <c:axId val="41171407"/>
      </c:barChart>
      <c:catAx>
        <c:axId val="411601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1171407"/>
        <c:crosses val="autoZero"/>
        <c:auto val="1"/>
        <c:lblAlgn val="ctr"/>
        <c:lblOffset val="100"/>
        <c:noMultiLvlLbl val="0"/>
      </c:catAx>
      <c:valAx>
        <c:axId val="41171407"/>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1160175"/>
        <c:crosses val="autoZero"/>
        <c:crossBetween val="between"/>
      </c:valAx>
      <c:spPr>
        <a:noFill/>
        <a:ln>
          <a:noFill/>
        </a:ln>
        <a:effectLst/>
      </c:spPr>
    </c:plotArea>
    <c:legend>
      <c:legendPos val="r"/>
      <c:layout>
        <c:manualLayout>
          <c:xMode val="edge"/>
          <c:yMode val="edge"/>
          <c:x val="0.69497245304014432"/>
          <c:y val="0.3885803007018489"/>
          <c:w val="0.29350680963266684"/>
          <c:h val="0.41063282582634919"/>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304800</xdr:colOff>
      <xdr:row>2</xdr:row>
      <xdr:rowOff>152400</xdr:rowOff>
    </xdr:from>
    <xdr:to>
      <xdr:col>10</xdr:col>
      <xdr:colOff>213360</xdr:colOff>
      <xdr:row>24</xdr:row>
      <xdr:rowOff>83820</xdr:rowOff>
    </xdr:to>
    <xdr:graphicFrame macro="">
      <xdr:nvGraphicFramePr>
        <xdr:cNvPr id="2" name="Chart 1">
          <a:extLst>
            <a:ext uri="{FF2B5EF4-FFF2-40B4-BE49-F238E27FC236}">
              <a16:creationId xmlns:a16="http://schemas.microsoft.com/office/drawing/2014/main" id="{2DAAAF3C-8DBE-4A9C-9CBB-E3DF56CCB2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76200</xdr:colOff>
      <xdr:row>10</xdr:row>
      <xdr:rowOff>83821</xdr:rowOff>
    </xdr:from>
    <xdr:to>
      <xdr:col>18</xdr:col>
      <xdr:colOff>594360</xdr:colOff>
      <xdr:row>14</xdr:row>
      <xdr:rowOff>22860</xdr:rowOff>
    </xdr:to>
    <mc:AlternateContent xmlns:mc="http://schemas.openxmlformats.org/markup-compatibility/2006" xmlns:a14="http://schemas.microsoft.com/office/drawing/2010/main">
      <mc:Choice Requires="a14">
        <xdr:graphicFrame macro="">
          <xdr:nvGraphicFramePr>
            <xdr:cNvPr id="3" name="Proteins (g)">
              <a:extLst>
                <a:ext uri="{FF2B5EF4-FFF2-40B4-BE49-F238E27FC236}">
                  <a16:creationId xmlns:a16="http://schemas.microsoft.com/office/drawing/2014/main" id="{089A7D93-B18D-499D-8D64-25C679BF1848}"/>
                </a:ext>
              </a:extLst>
            </xdr:cNvPr>
            <xdr:cNvGraphicFramePr/>
          </xdr:nvGraphicFramePr>
          <xdr:xfrm>
            <a:off x="0" y="0"/>
            <a:ext cx="0" cy="0"/>
          </xdr:xfrm>
          <a:graphic>
            <a:graphicData uri="http://schemas.microsoft.com/office/drawing/2010/slicer">
              <sle:slicer xmlns:sle="http://schemas.microsoft.com/office/drawing/2010/slicer" name="Proteins (g)"/>
            </a:graphicData>
          </a:graphic>
        </xdr:graphicFrame>
      </mc:Choice>
      <mc:Fallback xmlns="">
        <xdr:sp macro="" textlink="">
          <xdr:nvSpPr>
            <xdr:cNvPr id="0" name=""/>
            <xdr:cNvSpPr>
              <a:spLocks noTextEdit="1"/>
            </xdr:cNvSpPr>
          </xdr:nvSpPr>
          <xdr:spPr>
            <a:xfrm>
              <a:off x="10134600" y="1836421"/>
              <a:ext cx="2529840" cy="6400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662940</xdr:colOff>
      <xdr:row>6</xdr:row>
      <xdr:rowOff>30481</xdr:rowOff>
    </xdr:from>
    <xdr:to>
      <xdr:col>16</xdr:col>
      <xdr:colOff>510540</xdr:colOff>
      <xdr:row>9</xdr:row>
      <xdr:rowOff>129540</xdr:rowOff>
    </xdr:to>
    <mc:AlternateContent xmlns:mc="http://schemas.openxmlformats.org/markup-compatibility/2006" xmlns:a14="http://schemas.microsoft.com/office/drawing/2010/main">
      <mc:Choice Requires="a14">
        <xdr:graphicFrame macro="">
          <xdr:nvGraphicFramePr>
            <xdr:cNvPr id="6" name="Name">
              <a:extLst>
                <a:ext uri="{FF2B5EF4-FFF2-40B4-BE49-F238E27FC236}">
                  <a16:creationId xmlns:a16="http://schemas.microsoft.com/office/drawing/2014/main" id="{6B729E61-CBE9-4977-B28B-00F8C4EC028F}"/>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8709660" y="1082041"/>
              <a:ext cx="2529840" cy="6248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495299</xdr:colOff>
      <xdr:row>10</xdr:row>
      <xdr:rowOff>76201</xdr:rowOff>
    </xdr:from>
    <xdr:to>
      <xdr:col>14</xdr:col>
      <xdr:colOff>301426</xdr:colOff>
      <xdr:row>14</xdr:row>
      <xdr:rowOff>15240</xdr:rowOff>
    </xdr:to>
    <mc:AlternateContent xmlns:mc="http://schemas.openxmlformats.org/markup-compatibility/2006" xmlns:a14="http://schemas.microsoft.com/office/drawing/2010/main">
      <mc:Choice Requires="a14">
        <xdr:graphicFrame macro="">
          <xdr:nvGraphicFramePr>
            <xdr:cNvPr id="7" name="Calorie (cal)">
              <a:extLst>
                <a:ext uri="{FF2B5EF4-FFF2-40B4-BE49-F238E27FC236}">
                  <a16:creationId xmlns:a16="http://schemas.microsoft.com/office/drawing/2014/main" id="{C3BF5AD2-1CFF-4FF6-AF71-84C3319F57A3}"/>
                </a:ext>
              </a:extLst>
            </xdr:cNvPr>
            <xdr:cNvGraphicFramePr/>
          </xdr:nvGraphicFramePr>
          <xdr:xfrm>
            <a:off x="0" y="0"/>
            <a:ext cx="0" cy="0"/>
          </xdr:xfrm>
          <a:graphic>
            <a:graphicData uri="http://schemas.microsoft.com/office/drawing/2010/slicer">
              <sle:slicer xmlns:sle="http://schemas.microsoft.com/office/drawing/2010/slicer" name="Calorie (cal)"/>
            </a:graphicData>
          </a:graphic>
        </xdr:graphicFrame>
      </mc:Choice>
      <mc:Fallback xmlns="">
        <xdr:sp macro="" textlink="">
          <xdr:nvSpPr>
            <xdr:cNvPr id="0" name=""/>
            <xdr:cNvSpPr>
              <a:spLocks noTextEdit="1"/>
            </xdr:cNvSpPr>
          </xdr:nvSpPr>
          <xdr:spPr>
            <a:xfrm>
              <a:off x="7200899" y="1828801"/>
              <a:ext cx="2488367" cy="6400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487679</xdr:colOff>
      <xdr:row>14</xdr:row>
      <xdr:rowOff>106681</xdr:rowOff>
    </xdr:from>
    <xdr:to>
      <xdr:col>14</xdr:col>
      <xdr:colOff>293806</xdr:colOff>
      <xdr:row>18</xdr:row>
      <xdr:rowOff>45720</xdr:rowOff>
    </xdr:to>
    <mc:AlternateContent xmlns:mc="http://schemas.openxmlformats.org/markup-compatibility/2006" xmlns:a14="http://schemas.microsoft.com/office/drawing/2010/main">
      <mc:Choice Requires="a14">
        <xdr:graphicFrame macro="">
          <xdr:nvGraphicFramePr>
            <xdr:cNvPr id="8" name="Carbohydrates (g)">
              <a:extLst>
                <a:ext uri="{FF2B5EF4-FFF2-40B4-BE49-F238E27FC236}">
                  <a16:creationId xmlns:a16="http://schemas.microsoft.com/office/drawing/2014/main" id="{E18EF991-C5BE-4CA0-9BD5-3F8E6A7CDE29}"/>
                </a:ext>
              </a:extLst>
            </xdr:cNvPr>
            <xdr:cNvGraphicFramePr/>
          </xdr:nvGraphicFramePr>
          <xdr:xfrm>
            <a:off x="0" y="0"/>
            <a:ext cx="0" cy="0"/>
          </xdr:xfrm>
          <a:graphic>
            <a:graphicData uri="http://schemas.microsoft.com/office/drawing/2010/slicer">
              <sle:slicer xmlns:sle="http://schemas.microsoft.com/office/drawing/2010/slicer" name="Carbohydrates (g)"/>
            </a:graphicData>
          </a:graphic>
        </xdr:graphicFrame>
      </mc:Choice>
      <mc:Fallback xmlns="">
        <xdr:sp macro="" textlink="">
          <xdr:nvSpPr>
            <xdr:cNvPr id="0" name=""/>
            <xdr:cNvSpPr>
              <a:spLocks noTextEdit="1"/>
            </xdr:cNvSpPr>
          </xdr:nvSpPr>
          <xdr:spPr>
            <a:xfrm>
              <a:off x="7193279" y="2560321"/>
              <a:ext cx="2488367" cy="6400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83819</xdr:colOff>
      <xdr:row>14</xdr:row>
      <xdr:rowOff>76201</xdr:rowOff>
    </xdr:from>
    <xdr:to>
      <xdr:col>18</xdr:col>
      <xdr:colOff>560506</xdr:colOff>
      <xdr:row>18</xdr:row>
      <xdr:rowOff>7620</xdr:rowOff>
    </xdr:to>
    <mc:AlternateContent xmlns:mc="http://schemas.openxmlformats.org/markup-compatibility/2006" xmlns:a14="http://schemas.microsoft.com/office/drawing/2010/main">
      <mc:Choice Requires="a14">
        <xdr:graphicFrame macro="">
          <xdr:nvGraphicFramePr>
            <xdr:cNvPr id="9" name="Fats (g) 1">
              <a:extLst>
                <a:ext uri="{FF2B5EF4-FFF2-40B4-BE49-F238E27FC236}">
                  <a16:creationId xmlns:a16="http://schemas.microsoft.com/office/drawing/2014/main" id="{E7113657-62F6-4B83-A04D-933820F0703B}"/>
                </a:ext>
              </a:extLst>
            </xdr:cNvPr>
            <xdr:cNvGraphicFramePr/>
          </xdr:nvGraphicFramePr>
          <xdr:xfrm>
            <a:off x="0" y="0"/>
            <a:ext cx="0" cy="0"/>
          </xdr:xfrm>
          <a:graphic>
            <a:graphicData uri="http://schemas.microsoft.com/office/drawing/2010/slicer">
              <sle:slicer xmlns:sle="http://schemas.microsoft.com/office/drawing/2010/slicer" name="Fats (g) 1"/>
            </a:graphicData>
          </a:graphic>
        </xdr:graphicFrame>
      </mc:Choice>
      <mc:Fallback xmlns="">
        <xdr:sp macro="" textlink="">
          <xdr:nvSpPr>
            <xdr:cNvPr id="0" name=""/>
            <xdr:cNvSpPr>
              <a:spLocks noTextEdit="1"/>
            </xdr:cNvSpPr>
          </xdr:nvSpPr>
          <xdr:spPr>
            <a:xfrm>
              <a:off x="10142219" y="2529841"/>
              <a:ext cx="2488367" cy="6324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60960</xdr:colOff>
      <xdr:row>1</xdr:row>
      <xdr:rowOff>114300</xdr:rowOff>
    </xdr:from>
    <xdr:to>
      <xdr:col>16</xdr:col>
      <xdr:colOff>144780</xdr:colOff>
      <xdr:row>4</xdr:row>
      <xdr:rowOff>7620</xdr:rowOff>
    </xdr:to>
    <xdr:sp macro="[0]!Macro1" textlink="">
      <xdr:nvSpPr>
        <xdr:cNvPr id="10" name="Rectangle: Rounded Corners 9">
          <a:extLst>
            <a:ext uri="{FF2B5EF4-FFF2-40B4-BE49-F238E27FC236}">
              <a16:creationId xmlns:a16="http://schemas.microsoft.com/office/drawing/2014/main" id="{083057EE-C7AA-1F1F-7AB0-9F77937E6030}"/>
            </a:ext>
          </a:extLst>
        </xdr:cNvPr>
        <xdr:cNvSpPr/>
      </xdr:nvSpPr>
      <xdr:spPr>
        <a:xfrm>
          <a:off x="8778240" y="289560"/>
          <a:ext cx="2095500" cy="419100"/>
        </a:xfrm>
        <a:prstGeom prst="roundRect">
          <a:avLst>
            <a:gd name="adj" fmla="val 50000"/>
          </a:avLst>
        </a:prstGeom>
        <a:solidFill>
          <a:srgbClr val="99DFB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solidFill>
                <a:sysClr val="windowText" lastClr="000000"/>
              </a:solidFill>
            </a:rPr>
            <a:t>Clear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hit SK" refreshedDate="44818.270745486108" createdVersion="7" refreshedVersion="7" minRefreshableVersion="3" recordCount="16" xr:uid="{00000000-000A-0000-FFFF-FFFF06000000}">
  <cacheSource type="worksheet">
    <worksheetSource name="Table4"/>
  </cacheSource>
  <cacheFields count="5">
    <cacheField name="Name" numFmtId="0">
      <sharedItems count="16">
        <s v="Rohan_Week1"/>
        <s v="Rohan_Week2"/>
        <s v="Rohan_Week3"/>
        <s v="Rohan_Week4"/>
        <s v="Ben_Week1"/>
        <s v="Ben_Week2"/>
        <s v="Ben_Week3"/>
        <s v="Ben_Week4"/>
        <s v="Robert_Week1"/>
        <s v="Robert_Week2"/>
        <s v="Robert_Week3"/>
        <s v="Robert_Week4"/>
        <s v="John_Week1"/>
        <s v="John_Week2"/>
        <s v="John_Week3"/>
        <s v="John_Week4"/>
      </sharedItems>
    </cacheField>
    <cacheField name="Calorie (cal)" numFmtId="0">
      <sharedItems containsSemiMixedTypes="0" containsString="0" containsNumber="1" minValue="848" maxValue="1904.88" count="12">
        <n v="1766.27"/>
        <n v="1648"/>
        <n v="848"/>
        <n v="1201"/>
        <n v="1269.47"/>
        <n v="1446.89"/>
        <n v="1904.88"/>
        <n v="1312.81"/>
        <n v="979"/>
        <n v="1153"/>
        <n v="926"/>
        <n v="1435"/>
      </sharedItems>
    </cacheField>
    <cacheField name="Carbohydrates (g)" numFmtId="0">
      <sharedItems containsSemiMixedTypes="0" containsString="0" containsNumber="1" minValue="87.1" maxValue="234.96999999999997" count="12">
        <n v="171.64"/>
        <n v="234.96999999999997"/>
        <n v="116.2"/>
        <n v="140.68"/>
        <n v="151.74"/>
        <n v="187.84"/>
        <n v="171.62"/>
        <n v="150.98000000000002"/>
        <n v="127.69999999999999"/>
        <n v="142.04"/>
        <n v="87.1"/>
        <n v="141"/>
      </sharedItems>
    </cacheField>
    <cacheField name="Fats (g)" numFmtId="0">
      <sharedItems containsSemiMixedTypes="0" containsString="0" containsNumber="1" minValue="47.76" maxValue="71.72999999999999" count="12">
        <n v="70.72"/>
        <n v="71.72999999999999"/>
        <n v="50.9"/>
        <n v="69.039999999999992"/>
        <n v="47.76"/>
        <n v="56.010000000000005"/>
        <n v="61.62"/>
        <n v="52.27"/>
        <n v="52.400000000000006"/>
        <n v="56.86"/>
        <n v="67.3"/>
        <n v="66.900000000000006"/>
      </sharedItems>
    </cacheField>
    <cacheField name="Proteins (g)" numFmtId="0">
      <sharedItems containsSemiMixedTypes="0" containsString="0" containsNumber="1" minValue="31.090000000000003" maxValue="104.41000000000001" count="12">
        <n v="93.05"/>
        <n v="41.330000000000005"/>
        <n v="31.090000000000003"/>
        <n v="37.61"/>
        <n v="57.230000000000004"/>
        <n v="61.169999999999995"/>
        <n v="104.41000000000001"/>
        <n v="54.09"/>
        <n v="41.2"/>
        <n v="45.56"/>
        <n v="41.29"/>
        <n v="66.59"/>
      </sharedItems>
    </cacheField>
  </cacheFields>
  <extLst>
    <ext xmlns:x14="http://schemas.microsoft.com/office/spreadsheetml/2009/9/main" uri="{725AE2AE-9491-48be-B2B4-4EB974FC3084}">
      <x14:pivotCacheDefinition pivotCacheId="1811944090"/>
    </ext>
  </extLst>
</pivotCacheDefinition>
</file>

<file path=xl/pivotCache/pivotCacheRecords1.xml><?xml version="1.0" encoding="utf-8"?>
<pivotCacheRecords xmlns="http://schemas.openxmlformats.org/spreadsheetml/2006/main" xmlns:r="http://schemas.openxmlformats.org/officeDocument/2006/relationships" count="16">
  <r>
    <x v="0"/>
    <x v="0"/>
    <x v="0"/>
    <x v="0"/>
    <x v="0"/>
  </r>
  <r>
    <x v="1"/>
    <x v="1"/>
    <x v="1"/>
    <x v="1"/>
    <x v="1"/>
  </r>
  <r>
    <x v="2"/>
    <x v="2"/>
    <x v="2"/>
    <x v="2"/>
    <x v="2"/>
  </r>
  <r>
    <x v="3"/>
    <x v="3"/>
    <x v="3"/>
    <x v="3"/>
    <x v="3"/>
  </r>
  <r>
    <x v="4"/>
    <x v="4"/>
    <x v="4"/>
    <x v="4"/>
    <x v="4"/>
  </r>
  <r>
    <x v="5"/>
    <x v="5"/>
    <x v="5"/>
    <x v="5"/>
    <x v="5"/>
  </r>
  <r>
    <x v="6"/>
    <x v="6"/>
    <x v="6"/>
    <x v="6"/>
    <x v="6"/>
  </r>
  <r>
    <x v="7"/>
    <x v="7"/>
    <x v="7"/>
    <x v="7"/>
    <x v="7"/>
  </r>
  <r>
    <x v="8"/>
    <x v="8"/>
    <x v="8"/>
    <x v="8"/>
    <x v="8"/>
  </r>
  <r>
    <x v="9"/>
    <x v="9"/>
    <x v="9"/>
    <x v="9"/>
    <x v="9"/>
  </r>
  <r>
    <x v="10"/>
    <x v="10"/>
    <x v="10"/>
    <x v="10"/>
    <x v="10"/>
  </r>
  <r>
    <x v="11"/>
    <x v="11"/>
    <x v="11"/>
    <x v="11"/>
    <x v="11"/>
  </r>
  <r>
    <x v="12"/>
    <x v="0"/>
    <x v="0"/>
    <x v="0"/>
    <x v="0"/>
  </r>
  <r>
    <x v="13"/>
    <x v="1"/>
    <x v="1"/>
    <x v="1"/>
    <x v="1"/>
  </r>
  <r>
    <x v="14"/>
    <x v="2"/>
    <x v="2"/>
    <x v="2"/>
    <x v="2"/>
  </r>
  <r>
    <x v="15"/>
    <x v="3"/>
    <x v="3"/>
    <x v="3"/>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3:E20" firstHeaderRow="0" firstDataRow="1" firstDataCol="1"/>
  <pivotFields count="5">
    <pivotField axis="axisRow" showAll="0">
      <items count="17">
        <item x="4"/>
        <item x="5"/>
        <item x="6"/>
        <item x="7"/>
        <item x="12"/>
        <item x="13"/>
        <item x="14"/>
        <item x="15"/>
        <item x="8"/>
        <item x="9"/>
        <item x="10"/>
        <item x="11"/>
        <item x="0"/>
        <item x="1"/>
        <item x="2"/>
        <item x="3"/>
        <item t="default"/>
      </items>
    </pivotField>
    <pivotField dataField="1" showAll="0">
      <items count="13">
        <item x="2"/>
        <item x="10"/>
        <item x="8"/>
        <item x="9"/>
        <item x="3"/>
        <item x="4"/>
        <item x="7"/>
        <item x="11"/>
        <item x="5"/>
        <item x="1"/>
        <item x="0"/>
        <item x="6"/>
        <item t="default"/>
      </items>
    </pivotField>
    <pivotField dataField="1" showAll="0">
      <items count="13">
        <item x="10"/>
        <item x="2"/>
        <item x="8"/>
        <item x="3"/>
        <item x="11"/>
        <item x="9"/>
        <item x="7"/>
        <item x="4"/>
        <item x="6"/>
        <item x="0"/>
        <item x="5"/>
        <item x="1"/>
        <item t="default"/>
      </items>
    </pivotField>
    <pivotField dataField="1" showAll="0">
      <items count="13">
        <item x="4"/>
        <item x="2"/>
        <item x="7"/>
        <item x="8"/>
        <item x="5"/>
        <item x="9"/>
        <item x="6"/>
        <item x="11"/>
        <item x="10"/>
        <item x="3"/>
        <item x="0"/>
        <item x="1"/>
        <item t="default"/>
      </items>
    </pivotField>
    <pivotField dataField="1" showAll="0">
      <items count="13">
        <item x="2"/>
        <item x="3"/>
        <item x="8"/>
        <item x="10"/>
        <item x="1"/>
        <item x="9"/>
        <item x="7"/>
        <item x="4"/>
        <item x="5"/>
        <item x="11"/>
        <item x="0"/>
        <item x="6"/>
        <item t="default"/>
      </items>
    </pivotField>
  </pivotFields>
  <rowFields count="1">
    <field x="0"/>
  </rowFields>
  <rowItems count="17">
    <i>
      <x/>
    </i>
    <i>
      <x v="1"/>
    </i>
    <i>
      <x v="2"/>
    </i>
    <i>
      <x v="3"/>
    </i>
    <i>
      <x v="4"/>
    </i>
    <i>
      <x v="5"/>
    </i>
    <i>
      <x v="6"/>
    </i>
    <i>
      <x v="7"/>
    </i>
    <i>
      <x v="8"/>
    </i>
    <i>
      <x v="9"/>
    </i>
    <i>
      <x v="10"/>
    </i>
    <i>
      <x v="11"/>
    </i>
    <i>
      <x v="12"/>
    </i>
    <i>
      <x v="13"/>
    </i>
    <i>
      <x v="14"/>
    </i>
    <i>
      <x v="15"/>
    </i>
    <i t="grand">
      <x/>
    </i>
  </rowItems>
  <colFields count="1">
    <field x="-2"/>
  </colFields>
  <colItems count="4">
    <i>
      <x/>
    </i>
    <i i="1">
      <x v="1"/>
    </i>
    <i i="2">
      <x v="2"/>
    </i>
    <i i="3">
      <x v="3"/>
    </i>
  </colItems>
  <dataFields count="4">
    <dataField name="Sum of Calorie (cal)" fld="1" baseField="0" baseItem="0"/>
    <dataField name="Sum of Carbohydrates (g)" fld="2" baseField="0" baseItem="0"/>
    <dataField name="Sum of Fats (g)" fld="3" baseField="0" baseItem="0"/>
    <dataField name="Sum of Proteins (g)" fld="4" baseField="0" baseItem="0"/>
  </dataFields>
  <chartFormats count="4">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teins__g" xr10:uid="{00000000-0013-0000-FFFF-FFFF01000000}" sourceName="Proteins (g)">
  <pivotTables>
    <pivotTable tabId="7" name="PivotTable1"/>
  </pivotTables>
  <data>
    <tabular pivotCacheId="1811944090">
      <items count="12">
        <i x="2" s="1"/>
        <i x="3" s="1"/>
        <i x="8" s="1"/>
        <i x="10" s="1"/>
        <i x="1" s="1"/>
        <i x="9" s="1"/>
        <i x="7" s="1"/>
        <i x="4" s="1"/>
        <i x="5" s="1"/>
        <i x="11" s="1"/>
        <i x="0" s="1"/>
        <i x="6"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00000000-0013-0000-FFFF-FFFF02000000}" sourceName="Name">
  <pivotTables>
    <pivotTable tabId="7" name="PivotTable1"/>
  </pivotTables>
  <data>
    <tabular pivotCacheId="1811944090">
      <items count="16">
        <i x="4" s="1"/>
        <i x="5" s="1"/>
        <i x="6" s="1"/>
        <i x="7" s="1"/>
        <i x="12" s="1"/>
        <i x="13" s="1"/>
        <i x="14" s="1"/>
        <i x="15" s="1"/>
        <i x="8" s="1"/>
        <i x="9" s="1"/>
        <i x="10" s="1"/>
        <i x="11" s="1"/>
        <i x="0" s="1"/>
        <i x="1" s="1"/>
        <i x="2"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lorie__cal" xr10:uid="{00000000-0013-0000-FFFF-FFFF03000000}" sourceName="Calorie (cal)">
  <pivotTables>
    <pivotTable tabId="7" name="PivotTable1"/>
  </pivotTables>
  <data>
    <tabular pivotCacheId="1811944090">
      <items count="12">
        <i x="2" s="1"/>
        <i x="10" s="1"/>
        <i x="8" s="1"/>
        <i x="9" s="1"/>
        <i x="3" s="1"/>
        <i x="4" s="1"/>
        <i x="7" s="1"/>
        <i x="11" s="1"/>
        <i x="5" s="1"/>
        <i x="1" s="1"/>
        <i x="0" s="1"/>
        <i x="6"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rbohydrates__g" xr10:uid="{00000000-0013-0000-FFFF-FFFF04000000}" sourceName="Carbohydrates (g)">
  <pivotTables>
    <pivotTable tabId="7" name="PivotTable1"/>
  </pivotTables>
  <data>
    <tabular pivotCacheId="1811944090">
      <items count="12">
        <i x="10" s="1"/>
        <i x="2" s="1"/>
        <i x="8" s="1"/>
        <i x="3" s="1"/>
        <i x="11" s="1"/>
        <i x="9" s="1"/>
        <i x="7" s="1"/>
        <i x="4" s="1"/>
        <i x="6" s="1"/>
        <i x="0" s="1"/>
        <i x="5"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ts__g" xr10:uid="{00000000-0013-0000-FFFF-FFFF05000000}" sourceName="Fats (g)">
  <pivotTables>
    <pivotTable tabId="7" name="PivotTable1"/>
  </pivotTables>
  <data>
    <tabular pivotCacheId="1811944090">
      <items count="12">
        <i x="4" s="1"/>
        <i x="2" s="1"/>
        <i x="7" s="1"/>
        <i x="8" s="1"/>
        <i x="5" s="1"/>
        <i x="9" s="1"/>
        <i x="6" s="1"/>
        <i x="11" s="1"/>
        <i x="10"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teins (g)" xr10:uid="{00000000-0014-0000-FFFF-FFFF01000000}" cache="Slicer_Proteins__g" caption="Proteins (g)" columnCount="2" style="SlicerStyleLight1 2" rowHeight="234950"/>
  <slicer name="Name" xr10:uid="{00000000-0014-0000-FFFF-FFFF02000000}" cache="Slicer_Name" caption="Name" startItem="4" columnCount="2" style="SlicerStyleLight1 2" rowHeight="234950"/>
  <slicer name="Calorie (cal)" xr10:uid="{00000000-0014-0000-FFFF-FFFF03000000}" cache="Slicer_Calorie__cal" caption="Calorie (cal)" columnCount="2" style="SlicerStyleLight1 2" rowHeight="234950"/>
  <slicer name="Carbohydrates (g)" xr10:uid="{00000000-0014-0000-FFFF-FFFF04000000}" cache="Slicer_Carbohydrates__g" caption="Carbohydrates (g)" columnCount="2" style="SlicerStyleLight1 2" rowHeight="234950"/>
  <slicer name="Fats (g) 1" xr10:uid="{00000000-0014-0000-FFFF-FFFF05000000}" cache="Slicer_Fats__g" caption="Fats (g)" columnCount="2" style="SlicerStyleLight1 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F42" totalsRowShown="0">
  <autoFilter ref="A1:F42" xr:uid="{00000000-0009-0000-0100-000001000000}"/>
  <tableColumns count="6">
    <tableColumn id="1" xr3:uid="{00000000-0010-0000-0000-000001000000}" name="Food"/>
    <tableColumn id="2" xr3:uid="{00000000-0010-0000-0000-000002000000}" name="Quantity (g)"/>
    <tableColumn id="3" xr3:uid="{00000000-0010-0000-0000-000003000000}" name="Calorie"/>
    <tableColumn id="4" xr3:uid="{00000000-0010-0000-0000-000004000000}" name="Carbohydrates (g)"/>
    <tableColumn id="5" xr3:uid="{00000000-0010-0000-0000-000005000000}" name="Proteins (g)"/>
    <tableColumn id="6" xr3:uid="{00000000-0010-0000-0000-000006000000}" name="Fats (g)"/>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F5" totalsRowShown="0">
  <autoFilter ref="A1:F5" xr:uid="{00000000-0009-0000-0100-000002000000}"/>
  <tableColumns count="6">
    <tableColumn id="1" xr3:uid="{00000000-0010-0000-0100-000001000000}" name="Name"/>
    <tableColumn id="2" xr3:uid="{00000000-0010-0000-0100-000002000000}" name="Age"/>
    <tableColumn id="3" xr3:uid="{00000000-0010-0000-0100-000003000000}" name="Weight"/>
    <tableColumn id="4" xr3:uid="{00000000-0010-0000-0100-000004000000}" name="Height"/>
    <tableColumn id="5" xr3:uid="{00000000-0010-0000-0100-000005000000}" name="BMI (kg/m^2)"/>
    <tableColumn id="6" xr3:uid="{00000000-0010-0000-0100-000006000000}" name="Remark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1:P17" totalsRowShown="0">
  <autoFilter ref="A1:P17" xr:uid="{00000000-0009-0000-0100-000003000000}"/>
  <tableColumns count="16">
    <tableColumn id="1" xr3:uid="{00000000-0010-0000-0200-000001000000}" name="Week"/>
    <tableColumn id="2" xr3:uid="{00000000-0010-0000-0200-000002000000}" name="Name"/>
    <tableColumn id="16" xr3:uid="{00000000-0010-0000-0200-000010000000}" name="Morning_cafe"/>
    <tableColumn id="3" xr3:uid="{00000000-0010-0000-0200-000003000000}" name="Break Fast"/>
    <tableColumn id="4" xr3:uid="{00000000-0010-0000-0200-000004000000}" name="Lunch"/>
    <tableColumn id="5" xr3:uid="{00000000-0010-0000-0200-000005000000}" name="Snacks"/>
    <tableColumn id="6" xr3:uid="{00000000-0010-0000-0200-000006000000}" name="Dinner"/>
    <tableColumn id="7" xr3:uid="{00000000-0010-0000-0200-000007000000}" name="Column7"/>
    <tableColumn id="8" xr3:uid="{00000000-0010-0000-0200-000008000000}" name="Column8"/>
    <tableColumn id="9" xr3:uid="{00000000-0010-0000-0200-000009000000}" name="Column9"/>
    <tableColumn id="10" xr3:uid="{00000000-0010-0000-0200-00000A000000}" name="Column10"/>
    <tableColumn id="11" xr3:uid="{00000000-0010-0000-0200-00000B000000}" name="Column11"/>
    <tableColumn id="12" xr3:uid="{00000000-0010-0000-0200-00000C000000}" name="Column12"/>
    <tableColumn id="13" xr3:uid="{00000000-0010-0000-0200-00000D000000}" name="Column13"/>
    <tableColumn id="14" xr3:uid="{00000000-0010-0000-0200-00000E000000}" name="Column14"/>
    <tableColumn id="15" xr3:uid="{00000000-0010-0000-0200-00000F000000}" name="Column1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A1:E17" totalsRowShown="0">
  <autoFilter ref="A1:E17" xr:uid="{00000000-0009-0000-0100-000004000000}"/>
  <tableColumns count="5">
    <tableColumn id="1" xr3:uid="{00000000-0010-0000-0300-000001000000}" name="Name"/>
    <tableColumn id="2" xr3:uid="{00000000-0010-0000-0300-000002000000}" name="Calorie (cal)" dataDxfId="3">
      <calculatedColumnFormula>SUM(Menu!C30,Menu!C14,Menu!C11,Menu!C22,Menu!C12,Menu!C39,Menu!C42,Menu!C13,Menu!C10)</calculatedColumnFormula>
    </tableColumn>
    <tableColumn id="3" xr3:uid="{00000000-0010-0000-0300-000003000000}" name="Carbohydrates (g)" dataDxfId="2">
      <calculatedColumnFormula>SUM(Menu!D29,Menu!D13,Menu!D10,Menu!D21,Menu!D11,Menu!D38,Menu!D41,Menu!D12,Menu!D9)</calculatedColumnFormula>
    </tableColumn>
    <tableColumn id="4" xr3:uid="{00000000-0010-0000-0300-000004000000}" name="Fats (g)" dataDxfId="1">
      <calculatedColumnFormula>SUM(Menu!E30,Menu!E14,Menu!E11,Menu!E22,Menu!E12,Menu!E39,Menu!E42,Menu!E13,Menu!E10)</calculatedColumnFormula>
    </tableColumn>
    <tableColumn id="5" xr3:uid="{00000000-0010-0000-0300-000005000000}" name="Proteins (g)" dataDxfId="0">
      <calculatedColumnFormula>SUM(Menu!F30,Menu!F14,Menu!F11,Menu!F22,Menu!F12,Menu!F39,Menu!F42,Menu!F13,Menu!F10)</calculatedColumnFormula>
    </tableColumn>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Quotable">
  <a:themeElements>
    <a:clrScheme name="Quotable">
      <a:dk1>
        <a:sysClr val="windowText" lastClr="000000"/>
      </a:dk1>
      <a:lt1>
        <a:sysClr val="window" lastClr="FFFFFF"/>
      </a:lt1>
      <a:dk2>
        <a:srgbClr val="212121"/>
      </a:dk2>
      <a:lt2>
        <a:srgbClr val="636363"/>
      </a:lt2>
      <a:accent1>
        <a:srgbClr val="00C6BB"/>
      </a:accent1>
      <a:accent2>
        <a:srgbClr val="6FEBA0"/>
      </a:accent2>
      <a:accent3>
        <a:srgbClr val="B6DF5E"/>
      </a:accent3>
      <a:accent4>
        <a:srgbClr val="EFB251"/>
      </a:accent4>
      <a:accent5>
        <a:srgbClr val="EF755F"/>
      </a:accent5>
      <a:accent6>
        <a:srgbClr val="ED515C"/>
      </a:accent6>
      <a:hlink>
        <a:srgbClr val="8F8F8F"/>
      </a:hlink>
      <a:folHlink>
        <a:srgbClr val="A5A5A5"/>
      </a:folHlink>
    </a:clrScheme>
    <a:fontScheme name="Quotable">
      <a:majorFont>
        <a:latin typeface="Century Gothic" panose="020B05020202020202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Quotable">
      <a:fillStyleLst>
        <a:solidFill>
          <a:schemeClr val="phClr"/>
        </a:solidFill>
        <a:gradFill rotWithShape="1">
          <a:gsLst>
            <a:gs pos="0">
              <a:schemeClr val="phClr">
                <a:tint val="80000"/>
                <a:lumMod val="105000"/>
              </a:schemeClr>
            </a:gs>
            <a:gs pos="100000">
              <a:schemeClr val="phClr">
                <a:tint val="90000"/>
              </a:schemeClr>
            </a:gs>
          </a:gsLst>
          <a:lin ang="5400000" scaled="0"/>
        </a:gradFill>
        <a:blipFill rotWithShape="1">
          <a:blip xmlns:r="http://schemas.openxmlformats.org/officeDocument/2006/relationships" r:embed="rId1">
            <a:duotone>
              <a:schemeClr val="phClr">
                <a:tint val="98000"/>
                <a:lumMod val="102000"/>
              </a:schemeClr>
              <a:schemeClr val="phClr">
                <a:shade val="98000"/>
                <a:lumMod val="98000"/>
              </a:schemeClr>
            </a:duotone>
          </a:blip>
          <a:tile tx="0" ty="0" sx="100000" sy="100000" flip="none" algn="tl"/>
        </a:blipFill>
      </a:fillStyleLst>
      <a:lnStyleLst>
        <a:ln w="9525" cap="rnd" cmpd="sng" algn="ctr">
          <a:solidFill>
            <a:schemeClr val="phClr"/>
          </a:solidFill>
          <a:prstDash val="solid"/>
        </a:ln>
        <a:ln w="15875" cap="rnd" cmpd="sng" algn="ctr">
          <a:solidFill>
            <a:schemeClr val="phClr"/>
          </a:solidFill>
          <a:prstDash val="solid"/>
        </a:ln>
        <a:ln w="25400" cap="rnd" cmpd="sng" algn="ctr">
          <a:solidFill>
            <a:schemeClr val="phClr"/>
          </a:solidFill>
          <a:prstDash val="solid"/>
        </a:ln>
      </a:lnStyleLst>
      <a:effectStyleLst>
        <a:effectStyle>
          <a:effectLst/>
        </a:effectStyle>
        <a:effectStyle>
          <a:effectLst/>
        </a:effectStyle>
        <a:effectStyle>
          <a:effectLst>
            <a:innerShdw blurRad="63500" dist="25400" dir="13500000">
              <a:srgbClr val="000000">
                <a:alpha val="75000"/>
              </a:srgbClr>
            </a:innerShdw>
          </a:effectLst>
        </a:effectStyle>
      </a:effectStyleLst>
      <a:bgFillStyleLst>
        <a:solidFill>
          <a:schemeClr val="phClr"/>
        </a:solidFill>
        <a:gradFill rotWithShape="1">
          <a:gsLst>
            <a:gs pos="0">
              <a:schemeClr val="phClr">
                <a:tint val="100000"/>
              </a:schemeClr>
            </a:gs>
            <a:gs pos="100000">
              <a:schemeClr val="phClr">
                <a:tint val="84000"/>
                <a:shade val="84000"/>
                <a:lumMod val="90000"/>
              </a:schemeClr>
            </a:gs>
          </a:gsLst>
          <a:lin ang="5400000" scaled="0"/>
        </a:gradFill>
        <a:gradFill rotWithShape="1">
          <a:gsLst>
            <a:gs pos="0">
              <a:schemeClr val="phClr">
                <a:tint val="84000"/>
                <a:shade val="90000"/>
                <a:satMod val="120000"/>
                <a:lumMod val="90000"/>
              </a:schemeClr>
            </a:gs>
            <a:gs pos="100000">
              <a:schemeClr val="phClr"/>
            </a:gs>
          </a:gsLst>
          <a:lin ang="5400000" scaled="0"/>
        </a:gradFill>
      </a:bgFillStyleLst>
    </a:fmtScheme>
  </a:themeElements>
  <a:objectDefaults/>
  <a:extraClrSchemeLst/>
  <a:extLst>
    <a:ext uri="{05A4C25C-085E-4340-85A3-A5531E510DB2}">
      <thm15:themeFamily xmlns:thm15="http://schemas.microsoft.com/office/thememl/2012/main" name="Quotable" id="{39EC5628-30ED-4578-ACD8-9820EDB8E15A}" vid="{6F3559E9-1A4C-49D8-94D4-F41003531C49}"/>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image" Target="../media/image2.png"/><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42"/>
  <sheetViews>
    <sheetView topLeftCell="A4" workbookViewId="0">
      <selection activeCell="F42" sqref="F42"/>
    </sheetView>
  </sheetViews>
  <sheetFormatPr defaultRowHeight="13.8" x14ac:dyDescent="0.25"/>
  <cols>
    <col min="1" max="1" width="23.8984375" customWidth="1"/>
    <col min="2" max="2" width="12.8984375" customWidth="1"/>
    <col min="4" max="4" width="17.8984375" customWidth="1"/>
    <col min="5" max="5" width="12.5" customWidth="1"/>
    <col min="6" max="6" width="8.8984375" customWidth="1"/>
  </cols>
  <sheetData>
    <row r="1" spans="1:6" x14ac:dyDescent="0.25">
      <c r="A1" t="s">
        <v>0</v>
      </c>
      <c r="B1" t="s">
        <v>1</v>
      </c>
      <c r="C1" t="s">
        <v>2</v>
      </c>
      <c r="D1" t="s">
        <v>3</v>
      </c>
      <c r="E1" t="s">
        <v>4</v>
      </c>
      <c r="F1" t="s">
        <v>5</v>
      </c>
    </row>
    <row r="2" spans="1:6" x14ac:dyDescent="0.25">
      <c r="A2" t="s">
        <v>6</v>
      </c>
      <c r="B2">
        <v>100</v>
      </c>
      <c r="C2">
        <v>63</v>
      </c>
      <c r="D2">
        <v>0.32</v>
      </c>
      <c r="E2">
        <v>5.53</v>
      </c>
      <c r="F2">
        <v>4.18</v>
      </c>
    </row>
    <row r="3" spans="1:6" x14ac:dyDescent="0.25">
      <c r="A3" t="s">
        <v>7</v>
      </c>
      <c r="B3">
        <v>45</v>
      </c>
      <c r="C3">
        <v>120</v>
      </c>
      <c r="D3">
        <v>22</v>
      </c>
      <c r="E3">
        <v>4</v>
      </c>
      <c r="F3">
        <v>1.5</v>
      </c>
    </row>
    <row r="4" spans="1:6" x14ac:dyDescent="0.25">
      <c r="A4" t="s">
        <v>8</v>
      </c>
      <c r="B4">
        <v>150</v>
      </c>
      <c r="C4">
        <v>226</v>
      </c>
      <c r="D4">
        <v>42.8</v>
      </c>
      <c r="E4">
        <v>8.1</v>
      </c>
      <c r="F4">
        <v>1.3</v>
      </c>
    </row>
    <row r="5" spans="1:6" x14ac:dyDescent="0.25">
      <c r="A5" t="s">
        <v>9</v>
      </c>
      <c r="B5">
        <v>110</v>
      </c>
      <c r="C5">
        <v>201</v>
      </c>
      <c r="D5">
        <v>6.9</v>
      </c>
      <c r="E5">
        <v>8.24</v>
      </c>
      <c r="F5">
        <v>16.27</v>
      </c>
    </row>
    <row r="6" spans="1:6" x14ac:dyDescent="0.25">
      <c r="A6" t="s">
        <v>32</v>
      </c>
      <c r="B6">
        <v>500</v>
      </c>
      <c r="C6">
        <v>217</v>
      </c>
      <c r="D6">
        <v>17</v>
      </c>
      <c r="E6">
        <v>5</v>
      </c>
      <c r="F6">
        <v>16</v>
      </c>
    </row>
    <row r="7" spans="1:6" x14ac:dyDescent="0.25">
      <c r="A7" t="s">
        <v>10</v>
      </c>
      <c r="B7">
        <v>48</v>
      </c>
      <c r="C7">
        <v>166</v>
      </c>
      <c r="D7">
        <v>28</v>
      </c>
      <c r="E7">
        <v>4</v>
      </c>
      <c r="F7">
        <v>3</v>
      </c>
    </row>
    <row r="8" spans="1:6" x14ac:dyDescent="0.25">
      <c r="A8" t="s">
        <v>11</v>
      </c>
      <c r="B8">
        <v>45</v>
      </c>
      <c r="C8">
        <v>104</v>
      </c>
      <c r="D8">
        <v>15</v>
      </c>
      <c r="E8">
        <v>2</v>
      </c>
      <c r="F8">
        <v>3</v>
      </c>
    </row>
    <row r="9" spans="1:6" x14ac:dyDescent="0.25">
      <c r="A9" t="s">
        <v>12</v>
      </c>
      <c r="B9">
        <v>280</v>
      </c>
      <c r="C9">
        <v>306</v>
      </c>
      <c r="D9">
        <v>49.5</v>
      </c>
      <c r="E9">
        <v>15.5</v>
      </c>
      <c r="F9">
        <v>4.5999999999999996</v>
      </c>
    </row>
    <row r="10" spans="1:6" x14ac:dyDescent="0.25">
      <c r="A10" t="s">
        <v>13</v>
      </c>
      <c r="B10">
        <v>35</v>
      </c>
      <c r="C10">
        <v>70</v>
      </c>
      <c r="D10">
        <v>1</v>
      </c>
      <c r="E10">
        <v>0</v>
      </c>
      <c r="F10">
        <v>5</v>
      </c>
    </row>
    <row r="11" spans="1:6" x14ac:dyDescent="0.25">
      <c r="A11" t="s">
        <v>14</v>
      </c>
      <c r="B11">
        <v>200</v>
      </c>
      <c r="C11">
        <v>122</v>
      </c>
      <c r="D11">
        <v>9.4</v>
      </c>
      <c r="E11">
        <v>7</v>
      </c>
      <c r="F11">
        <v>6.6</v>
      </c>
    </row>
    <row r="12" spans="1:6" x14ac:dyDescent="0.25">
      <c r="A12" t="s">
        <v>15</v>
      </c>
      <c r="B12">
        <v>90</v>
      </c>
      <c r="C12">
        <v>168</v>
      </c>
      <c r="D12">
        <v>29</v>
      </c>
      <c r="E12">
        <v>3.9</v>
      </c>
      <c r="F12">
        <v>3.7</v>
      </c>
    </row>
    <row r="13" spans="1:6" x14ac:dyDescent="0.25">
      <c r="A13" t="s">
        <v>63</v>
      </c>
      <c r="B13">
        <v>90</v>
      </c>
      <c r="C13">
        <v>153</v>
      </c>
      <c r="D13">
        <v>21.24</v>
      </c>
      <c r="E13">
        <v>9.5</v>
      </c>
      <c r="F13">
        <v>7.6</v>
      </c>
    </row>
    <row r="14" spans="1:6" x14ac:dyDescent="0.25">
      <c r="A14" t="s">
        <v>16</v>
      </c>
      <c r="B14">
        <v>100</v>
      </c>
      <c r="C14">
        <v>162</v>
      </c>
      <c r="D14">
        <v>31.57</v>
      </c>
      <c r="E14">
        <v>7.63</v>
      </c>
      <c r="F14">
        <v>0.74</v>
      </c>
    </row>
    <row r="15" spans="1:6" x14ac:dyDescent="0.25">
      <c r="A15" t="s">
        <v>17</v>
      </c>
      <c r="B15">
        <v>30</v>
      </c>
      <c r="C15">
        <v>30</v>
      </c>
      <c r="D15">
        <v>10</v>
      </c>
      <c r="E15">
        <v>10</v>
      </c>
      <c r="F15">
        <v>0</v>
      </c>
    </row>
    <row r="16" spans="1:6" x14ac:dyDescent="0.25">
      <c r="A16" t="s">
        <v>18</v>
      </c>
      <c r="B16">
        <v>168</v>
      </c>
      <c r="C16">
        <v>339.52</v>
      </c>
      <c r="D16">
        <v>50.27</v>
      </c>
      <c r="E16">
        <v>8.5</v>
      </c>
      <c r="F16">
        <v>11.31</v>
      </c>
    </row>
    <row r="17" spans="1:6" x14ac:dyDescent="0.25">
      <c r="A17" t="s">
        <v>19</v>
      </c>
      <c r="B17">
        <v>146</v>
      </c>
      <c r="C17">
        <v>652.76</v>
      </c>
      <c r="D17">
        <v>52.33</v>
      </c>
      <c r="E17">
        <v>20.29</v>
      </c>
      <c r="F17">
        <v>39.450000000000003</v>
      </c>
    </row>
    <row r="18" spans="1:6" x14ac:dyDescent="0.25">
      <c r="A18" t="s">
        <v>20</v>
      </c>
      <c r="B18">
        <v>199</v>
      </c>
      <c r="C18">
        <v>402.05</v>
      </c>
      <c r="D18">
        <v>56.54</v>
      </c>
      <c r="E18">
        <v>10.24</v>
      </c>
      <c r="F18">
        <v>13.83</v>
      </c>
    </row>
    <row r="19" spans="1:6" x14ac:dyDescent="0.25">
      <c r="A19" t="s">
        <v>21</v>
      </c>
      <c r="B19">
        <v>1.5</v>
      </c>
      <c r="C19">
        <v>210</v>
      </c>
      <c r="D19">
        <v>1</v>
      </c>
      <c r="E19">
        <v>21</v>
      </c>
      <c r="F19">
        <v>15</v>
      </c>
    </row>
    <row r="20" spans="1:6" x14ac:dyDescent="0.25">
      <c r="A20" t="s">
        <v>22</v>
      </c>
      <c r="B20">
        <v>150</v>
      </c>
      <c r="C20">
        <v>482</v>
      </c>
      <c r="D20">
        <v>49</v>
      </c>
      <c r="E20">
        <v>7</v>
      </c>
      <c r="F20">
        <v>28</v>
      </c>
    </row>
    <row r="21" spans="1:6" x14ac:dyDescent="0.25">
      <c r="A21" t="s">
        <v>23</v>
      </c>
      <c r="B21">
        <v>80</v>
      </c>
      <c r="C21">
        <v>130</v>
      </c>
      <c r="D21">
        <v>28.7</v>
      </c>
      <c r="E21">
        <v>2.2999999999999998</v>
      </c>
      <c r="F21">
        <v>0.19</v>
      </c>
    </row>
    <row r="22" spans="1:6" x14ac:dyDescent="0.25">
      <c r="A22" t="s">
        <v>24</v>
      </c>
      <c r="B22">
        <v>150</v>
      </c>
      <c r="C22">
        <v>121</v>
      </c>
      <c r="D22">
        <v>5.8</v>
      </c>
      <c r="E22">
        <v>12.2</v>
      </c>
      <c r="F22">
        <v>5.7</v>
      </c>
    </row>
    <row r="23" spans="1:6" x14ac:dyDescent="0.25">
      <c r="A23" t="s">
        <v>25</v>
      </c>
      <c r="B23">
        <v>150</v>
      </c>
      <c r="C23">
        <v>159</v>
      </c>
      <c r="D23">
        <v>13.5</v>
      </c>
      <c r="E23">
        <v>15</v>
      </c>
      <c r="F23">
        <v>1</v>
      </c>
    </row>
    <row r="24" spans="1:6" x14ac:dyDescent="0.25">
      <c r="A24" t="s">
        <v>26</v>
      </c>
      <c r="B24">
        <v>250</v>
      </c>
      <c r="C24">
        <v>360</v>
      </c>
      <c r="D24">
        <v>42</v>
      </c>
      <c r="E24">
        <v>14</v>
      </c>
      <c r="F24">
        <v>15</v>
      </c>
    </row>
    <row r="25" spans="1:6" x14ac:dyDescent="0.25">
      <c r="A25" t="s">
        <v>27</v>
      </c>
      <c r="B25">
        <v>43</v>
      </c>
      <c r="C25">
        <v>451</v>
      </c>
      <c r="D25">
        <v>48.9</v>
      </c>
      <c r="E25">
        <v>24.3</v>
      </c>
      <c r="F25">
        <v>26.6</v>
      </c>
    </row>
    <row r="26" spans="1:6" x14ac:dyDescent="0.25">
      <c r="A26" t="s">
        <v>28</v>
      </c>
      <c r="B26">
        <v>2.8</v>
      </c>
      <c r="C26">
        <v>16</v>
      </c>
      <c r="D26">
        <v>4.18</v>
      </c>
      <c r="E26">
        <v>0</v>
      </c>
      <c r="F26">
        <v>0</v>
      </c>
    </row>
    <row r="27" spans="1:6" x14ac:dyDescent="0.25">
      <c r="A27" t="s">
        <v>29</v>
      </c>
      <c r="B27">
        <v>293</v>
      </c>
      <c r="C27">
        <v>250</v>
      </c>
      <c r="D27">
        <v>45.51</v>
      </c>
      <c r="E27">
        <v>8.11</v>
      </c>
      <c r="F27">
        <v>3.78</v>
      </c>
    </row>
    <row r="28" spans="1:6" x14ac:dyDescent="0.25">
      <c r="A28" t="s">
        <v>30</v>
      </c>
      <c r="B28">
        <v>236.5</v>
      </c>
      <c r="C28">
        <v>147.72</v>
      </c>
      <c r="D28">
        <v>17.149999999999999</v>
      </c>
      <c r="E28">
        <v>9.1</v>
      </c>
      <c r="F28">
        <v>10.42</v>
      </c>
    </row>
    <row r="29" spans="1:6" x14ac:dyDescent="0.25">
      <c r="A29" t="s">
        <v>31</v>
      </c>
      <c r="B29">
        <v>250</v>
      </c>
      <c r="C29">
        <v>168</v>
      </c>
      <c r="D29">
        <v>11</v>
      </c>
      <c r="E29">
        <v>8</v>
      </c>
      <c r="F29">
        <v>10.3</v>
      </c>
    </row>
    <row r="30" spans="1:6" x14ac:dyDescent="0.25">
      <c r="A30" t="s">
        <v>77</v>
      </c>
      <c r="B30">
        <v>123.2</v>
      </c>
      <c r="C30">
        <v>278.27</v>
      </c>
      <c r="D30">
        <v>31.37</v>
      </c>
      <c r="E30">
        <v>11.49</v>
      </c>
      <c r="F30">
        <v>11.81</v>
      </c>
    </row>
    <row r="31" spans="1:6" x14ac:dyDescent="0.25">
      <c r="A31" t="s">
        <v>78</v>
      </c>
      <c r="B31">
        <v>112</v>
      </c>
      <c r="C31">
        <v>281.44</v>
      </c>
      <c r="D31">
        <v>28.62</v>
      </c>
      <c r="E31">
        <v>16.25</v>
      </c>
      <c r="F31">
        <v>10.81</v>
      </c>
    </row>
    <row r="32" spans="1:6" x14ac:dyDescent="0.25">
      <c r="A32" t="s">
        <v>79</v>
      </c>
      <c r="B32">
        <v>157</v>
      </c>
      <c r="C32">
        <v>290.42</v>
      </c>
      <c r="D32">
        <v>28.87</v>
      </c>
      <c r="E32">
        <v>22.46</v>
      </c>
      <c r="F32">
        <v>15.94</v>
      </c>
    </row>
    <row r="33" spans="1:6" x14ac:dyDescent="0.25">
      <c r="A33" t="s">
        <v>80</v>
      </c>
      <c r="B33">
        <v>112</v>
      </c>
      <c r="C33">
        <v>283.45999999999998</v>
      </c>
      <c r="D33">
        <v>28.12</v>
      </c>
      <c r="E33">
        <v>14.05</v>
      </c>
      <c r="F33">
        <v>12.31</v>
      </c>
    </row>
    <row r="34" spans="1:6" x14ac:dyDescent="0.25">
      <c r="A34" t="s">
        <v>81</v>
      </c>
      <c r="B34">
        <v>58</v>
      </c>
      <c r="C34">
        <v>164.44</v>
      </c>
      <c r="D34">
        <v>2.68</v>
      </c>
      <c r="E34">
        <v>10.17</v>
      </c>
      <c r="F34">
        <v>12.38</v>
      </c>
    </row>
    <row r="35" spans="1:6" x14ac:dyDescent="0.25">
      <c r="A35" t="s">
        <v>82</v>
      </c>
      <c r="B35">
        <v>109</v>
      </c>
      <c r="C35">
        <v>317.92</v>
      </c>
      <c r="D35">
        <v>38.340000000000003</v>
      </c>
      <c r="E35">
        <v>4.79</v>
      </c>
      <c r="F35">
        <v>14.7</v>
      </c>
    </row>
    <row r="36" spans="1:6" x14ac:dyDescent="0.25">
      <c r="A36" t="s">
        <v>83</v>
      </c>
      <c r="B36">
        <v>114</v>
      </c>
      <c r="C36">
        <v>204.65</v>
      </c>
      <c r="D36">
        <v>28.74</v>
      </c>
      <c r="E36">
        <v>3.97</v>
      </c>
      <c r="F36">
        <v>7.15</v>
      </c>
    </row>
    <row r="37" spans="1:6" x14ac:dyDescent="0.25">
      <c r="A37" t="s">
        <v>84</v>
      </c>
      <c r="B37">
        <v>119</v>
      </c>
      <c r="C37">
        <v>309.35000000000002</v>
      </c>
      <c r="D37">
        <v>38.86</v>
      </c>
      <c r="E37">
        <v>10.220000000000001</v>
      </c>
      <c r="F37">
        <v>11.78</v>
      </c>
    </row>
    <row r="38" spans="1:6" x14ac:dyDescent="0.25">
      <c r="A38" t="s">
        <v>86</v>
      </c>
      <c r="B38">
        <v>250</v>
      </c>
      <c r="C38">
        <v>102</v>
      </c>
      <c r="D38">
        <v>11.5</v>
      </c>
      <c r="E38">
        <v>4.3</v>
      </c>
      <c r="F38">
        <v>4.4000000000000004</v>
      </c>
    </row>
    <row r="39" spans="1:6" x14ac:dyDescent="0.25">
      <c r="A39" t="s">
        <v>74</v>
      </c>
      <c r="B39">
        <v>100</v>
      </c>
      <c r="C39">
        <v>249</v>
      </c>
      <c r="D39">
        <v>22.2</v>
      </c>
      <c r="E39">
        <v>3.9</v>
      </c>
      <c r="F39">
        <v>16.2</v>
      </c>
    </row>
    <row r="40" spans="1:6" x14ac:dyDescent="0.25">
      <c r="A40" t="s">
        <v>75</v>
      </c>
      <c r="B40">
        <v>100</v>
      </c>
      <c r="C40">
        <v>227</v>
      </c>
      <c r="D40">
        <v>28</v>
      </c>
      <c r="E40">
        <v>3.6</v>
      </c>
      <c r="F40">
        <v>16.600000000000001</v>
      </c>
    </row>
    <row r="41" spans="1:6" x14ac:dyDescent="0.25">
      <c r="A41" t="s">
        <v>87</v>
      </c>
      <c r="B41">
        <v>17</v>
      </c>
      <c r="C41">
        <v>74</v>
      </c>
      <c r="D41">
        <v>10.3</v>
      </c>
      <c r="E41">
        <v>1.2</v>
      </c>
      <c r="F41">
        <v>3.2</v>
      </c>
    </row>
    <row r="42" spans="1:6" x14ac:dyDescent="0.25">
      <c r="A42" t="s">
        <v>60</v>
      </c>
      <c r="B42">
        <v>71.5</v>
      </c>
      <c r="C42">
        <v>443</v>
      </c>
      <c r="D42">
        <v>15.4</v>
      </c>
      <c r="E42">
        <v>15.1</v>
      </c>
      <c r="F42">
        <v>35.700000000000003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5"/>
  <sheetViews>
    <sheetView workbookViewId="0">
      <selection activeCell="F2" sqref="F2"/>
    </sheetView>
  </sheetViews>
  <sheetFormatPr defaultRowHeight="13.8" x14ac:dyDescent="0.25"/>
  <cols>
    <col min="1" max="4" width="10.3984375" customWidth="1"/>
    <col min="5" max="5" width="14.69921875" bestFit="1" customWidth="1"/>
    <col min="6" max="6" width="13.296875" bestFit="1" customWidth="1"/>
    <col min="7" max="9" width="10.3984375" customWidth="1"/>
    <col min="10" max="10" width="11.3984375" customWidth="1"/>
  </cols>
  <sheetData>
    <row r="1" spans="1:6" x14ac:dyDescent="0.25">
      <c r="A1" t="s">
        <v>37</v>
      </c>
      <c r="B1" t="s">
        <v>38</v>
      </c>
      <c r="C1" t="s">
        <v>39</v>
      </c>
      <c r="D1" t="s">
        <v>40</v>
      </c>
      <c r="E1" t="s">
        <v>112</v>
      </c>
      <c r="F1" t="s">
        <v>85</v>
      </c>
    </row>
    <row r="2" spans="1:6" x14ac:dyDescent="0.25">
      <c r="A2" t="s">
        <v>51</v>
      </c>
      <c r="B2">
        <v>25</v>
      </c>
      <c r="C2">
        <v>75</v>
      </c>
      <c r="D2">
        <v>170</v>
      </c>
      <c r="E2">
        <v>26</v>
      </c>
      <c r="F2" t="s">
        <v>114</v>
      </c>
    </row>
    <row r="3" spans="1:6" x14ac:dyDescent="0.25">
      <c r="A3" t="s">
        <v>52</v>
      </c>
      <c r="B3">
        <v>35</v>
      </c>
      <c r="C3">
        <v>90</v>
      </c>
      <c r="D3">
        <v>165</v>
      </c>
      <c r="E3">
        <v>33.1</v>
      </c>
      <c r="F3" t="s">
        <v>111</v>
      </c>
    </row>
    <row r="4" spans="1:6" x14ac:dyDescent="0.25">
      <c r="A4" t="s">
        <v>53</v>
      </c>
      <c r="B4">
        <v>60</v>
      </c>
      <c r="C4">
        <v>65</v>
      </c>
      <c r="D4">
        <v>169</v>
      </c>
      <c r="E4">
        <v>22.8</v>
      </c>
      <c r="F4" t="s">
        <v>113</v>
      </c>
    </row>
    <row r="5" spans="1:6" x14ac:dyDescent="0.25">
      <c r="A5" t="s">
        <v>54</v>
      </c>
      <c r="B5">
        <v>18</v>
      </c>
      <c r="C5">
        <v>70</v>
      </c>
      <c r="D5">
        <v>177</v>
      </c>
      <c r="E5">
        <v>22.3</v>
      </c>
      <c r="F5" t="s">
        <v>113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17"/>
  <sheetViews>
    <sheetView workbookViewId="0">
      <selection activeCell="G21" sqref="G21"/>
    </sheetView>
  </sheetViews>
  <sheetFormatPr defaultRowHeight="13.8" x14ac:dyDescent="0.25"/>
  <cols>
    <col min="1" max="1" width="10.3984375" customWidth="1"/>
    <col min="2" max="2" width="13" customWidth="1"/>
    <col min="3" max="3" width="14.8984375" customWidth="1"/>
    <col min="4" max="4" width="23.8984375" customWidth="1"/>
    <col min="5" max="5" width="23.09765625" customWidth="1"/>
    <col min="6" max="6" width="18.59765625" customWidth="1"/>
    <col min="7" max="7" width="20.5" customWidth="1"/>
    <col min="8" max="9" width="10.3984375" customWidth="1"/>
    <col min="10" max="15" width="11.3984375" customWidth="1"/>
  </cols>
  <sheetData>
    <row r="1" spans="1:16" x14ac:dyDescent="0.25">
      <c r="A1" t="s">
        <v>46</v>
      </c>
      <c r="B1" t="s">
        <v>37</v>
      </c>
      <c r="C1" t="s">
        <v>55</v>
      </c>
      <c r="D1" t="s">
        <v>47</v>
      </c>
      <c r="E1" t="s">
        <v>48</v>
      </c>
      <c r="F1" t="s">
        <v>49</v>
      </c>
      <c r="G1" t="s">
        <v>50</v>
      </c>
      <c r="H1" t="s">
        <v>33</v>
      </c>
      <c r="I1" t="s">
        <v>34</v>
      </c>
      <c r="J1" t="s">
        <v>35</v>
      </c>
      <c r="K1" t="s">
        <v>36</v>
      </c>
      <c r="L1" t="s">
        <v>41</v>
      </c>
      <c r="M1" t="s">
        <v>42</v>
      </c>
      <c r="N1" t="s">
        <v>43</v>
      </c>
      <c r="O1" t="s">
        <v>44</v>
      </c>
      <c r="P1" t="s">
        <v>45</v>
      </c>
    </row>
    <row r="2" spans="1:16" x14ac:dyDescent="0.25">
      <c r="A2">
        <v>1</v>
      </c>
      <c r="B2" t="s">
        <v>51</v>
      </c>
      <c r="C2" t="s">
        <v>31</v>
      </c>
      <c r="D2" t="s">
        <v>64</v>
      </c>
      <c r="E2" t="s">
        <v>66</v>
      </c>
      <c r="F2" t="s">
        <v>73</v>
      </c>
      <c r="G2" t="s">
        <v>71</v>
      </c>
    </row>
    <row r="3" spans="1:16" x14ac:dyDescent="0.25">
      <c r="A3">
        <v>2</v>
      </c>
      <c r="B3" t="s">
        <v>51</v>
      </c>
      <c r="C3" t="s">
        <v>31</v>
      </c>
      <c r="D3" t="s">
        <v>65</v>
      </c>
      <c r="E3" t="s">
        <v>67</v>
      </c>
      <c r="F3" t="s">
        <v>74</v>
      </c>
      <c r="G3" t="s">
        <v>69</v>
      </c>
    </row>
    <row r="4" spans="1:16" x14ac:dyDescent="0.25">
      <c r="A4">
        <v>3</v>
      </c>
      <c r="B4" t="s">
        <v>51</v>
      </c>
      <c r="C4" t="s">
        <v>31</v>
      </c>
      <c r="D4" t="s">
        <v>58</v>
      </c>
      <c r="E4" t="s">
        <v>68</v>
      </c>
      <c r="F4" t="s">
        <v>75</v>
      </c>
      <c r="G4" t="s">
        <v>58</v>
      </c>
    </row>
    <row r="5" spans="1:16" x14ac:dyDescent="0.25">
      <c r="A5">
        <v>4</v>
      </c>
      <c r="B5" t="s">
        <v>51</v>
      </c>
      <c r="C5" t="s">
        <v>31</v>
      </c>
      <c r="D5" t="s">
        <v>29</v>
      </c>
      <c r="E5" t="s">
        <v>70</v>
      </c>
      <c r="F5" t="s">
        <v>76</v>
      </c>
      <c r="G5" t="s">
        <v>72</v>
      </c>
    </row>
    <row r="6" spans="1:16" x14ac:dyDescent="0.25">
      <c r="A6">
        <v>1</v>
      </c>
      <c r="B6" t="s">
        <v>52</v>
      </c>
      <c r="C6" t="s">
        <v>30</v>
      </c>
      <c r="D6" t="s">
        <v>77</v>
      </c>
      <c r="E6" t="s">
        <v>18</v>
      </c>
      <c r="F6" t="s">
        <v>81</v>
      </c>
      <c r="G6" t="s">
        <v>18</v>
      </c>
    </row>
    <row r="7" spans="1:16" x14ac:dyDescent="0.25">
      <c r="A7">
        <v>2</v>
      </c>
      <c r="B7" t="s">
        <v>52</v>
      </c>
      <c r="C7" t="s">
        <v>30</v>
      </c>
      <c r="D7" t="s">
        <v>78</v>
      </c>
      <c r="E7" t="s">
        <v>19</v>
      </c>
      <c r="F7" t="s">
        <v>82</v>
      </c>
      <c r="G7" t="s">
        <v>19</v>
      </c>
    </row>
    <row r="8" spans="1:16" x14ac:dyDescent="0.25">
      <c r="A8">
        <v>3</v>
      </c>
      <c r="B8" t="s">
        <v>52</v>
      </c>
      <c r="C8" t="s">
        <v>30</v>
      </c>
      <c r="D8" t="s">
        <v>79</v>
      </c>
      <c r="E8" t="s">
        <v>20</v>
      </c>
      <c r="F8" t="s">
        <v>83</v>
      </c>
      <c r="G8" t="s">
        <v>20</v>
      </c>
    </row>
    <row r="9" spans="1:16" x14ac:dyDescent="0.25">
      <c r="A9">
        <v>4</v>
      </c>
      <c r="B9" t="s">
        <v>52</v>
      </c>
      <c r="C9" t="s">
        <v>30</v>
      </c>
      <c r="D9" t="s">
        <v>80</v>
      </c>
      <c r="E9" t="s">
        <v>26</v>
      </c>
      <c r="F9" t="s">
        <v>84</v>
      </c>
      <c r="G9" t="s">
        <v>26</v>
      </c>
    </row>
    <row r="10" spans="1:16" x14ac:dyDescent="0.25">
      <c r="A10">
        <v>1</v>
      </c>
      <c r="B10" t="s">
        <v>53</v>
      </c>
      <c r="C10" t="s">
        <v>31</v>
      </c>
      <c r="D10" t="s">
        <v>64</v>
      </c>
      <c r="E10" t="s">
        <v>66</v>
      </c>
      <c r="F10" t="s">
        <v>73</v>
      </c>
      <c r="G10" t="s">
        <v>71</v>
      </c>
    </row>
    <row r="11" spans="1:16" x14ac:dyDescent="0.25">
      <c r="A11">
        <v>2</v>
      </c>
      <c r="B11" t="s">
        <v>53</v>
      </c>
      <c r="C11" t="s">
        <v>31</v>
      </c>
      <c r="D11" t="s">
        <v>65</v>
      </c>
      <c r="E11" t="s">
        <v>67</v>
      </c>
      <c r="F11" t="s">
        <v>74</v>
      </c>
      <c r="G11" t="s">
        <v>69</v>
      </c>
    </row>
    <row r="12" spans="1:16" x14ac:dyDescent="0.25">
      <c r="A12">
        <v>3</v>
      </c>
      <c r="B12" t="s">
        <v>53</v>
      </c>
      <c r="C12" t="s">
        <v>31</v>
      </c>
      <c r="D12" t="s">
        <v>58</v>
      </c>
      <c r="E12" t="s">
        <v>68</v>
      </c>
      <c r="F12" t="s">
        <v>75</v>
      </c>
      <c r="G12" t="s">
        <v>58</v>
      </c>
    </row>
    <row r="13" spans="1:16" x14ac:dyDescent="0.25">
      <c r="A13">
        <v>4</v>
      </c>
      <c r="B13" t="s">
        <v>53</v>
      </c>
      <c r="C13" t="s">
        <v>31</v>
      </c>
      <c r="D13" t="s">
        <v>29</v>
      </c>
      <c r="E13" t="s">
        <v>70</v>
      </c>
      <c r="F13" t="s">
        <v>76</v>
      </c>
      <c r="G13" t="s">
        <v>72</v>
      </c>
    </row>
    <row r="14" spans="1:16" x14ac:dyDescent="0.25">
      <c r="A14">
        <v>1</v>
      </c>
      <c r="B14" t="s">
        <v>54</v>
      </c>
      <c r="C14" t="s">
        <v>31</v>
      </c>
      <c r="D14" t="s">
        <v>8</v>
      </c>
      <c r="E14" t="s">
        <v>27</v>
      </c>
      <c r="F14" t="s">
        <v>59</v>
      </c>
      <c r="G14" t="s">
        <v>58</v>
      </c>
    </row>
    <row r="15" spans="1:16" x14ac:dyDescent="0.25">
      <c r="A15">
        <v>2</v>
      </c>
      <c r="B15" t="s">
        <v>54</v>
      </c>
      <c r="C15" t="s">
        <v>31</v>
      </c>
      <c r="D15" t="s">
        <v>62</v>
      </c>
      <c r="E15" t="s">
        <v>56</v>
      </c>
      <c r="F15" t="s">
        <v>6</v>
      </c>
      <c r="G15" t="s">
        <v>27</v>
      </c>
    </row>
    <row r="16" spans="1:16" x14ac:dyDescent="0.25">
      <c r="A16">
        <v>3</v>
      </c>
      <c r="B16" t="s">
        <v>54</v>
      </c>
      <c r="C16" t="s">
        <v>31</v>
      </c>
      <c r="D16" t="s">
        <v>61</v>
      </c>
      <c r="E16" t="s">
        <v>57</v>
      </c>
      <c r="F16" t="s">
        <v>60</v>
      </c>
      <c r="G16" t="s">
        <v>56</v>
      </c>
    </row>
    <row r="17" spans="1:7" x14ac:dyDescent="0.25">
      <c r="A17">
        <v>4</v>
      </c>
      <c r="B17" t="s">
        <v>54</v>
      </c>
      <c r="C17" t="s">
        <v>31</v>
      </c>
      <c r="D17" t="s">
        <v>10</v>
      </c>
      <c r="E17" t="s">
        <v>58</v>
      </c>
      <c r="F17" t="s">
        <v>21</v>
      </c>
      <c r="G17" t="s">
        <v>57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3:E20"/>
  <sheetViews>
    <sheetView topLeftCell="A2" workbookViewId="0">
      <selection activeCell="K18" sqref="K18"/>
    </sheetView>
  </sheetViews>
  <sheetFormatPr defaultRowHeight="13.8" x14ac:dyDescent="0.25"/>
  <cols>
    <col min="1" max="1" width="13.796875" bestFit="1" customWidth="1"/>
    <col min="2" max="2" width="18.59765625" bestFit="1" customWidth="1"/>
    <col min="3" max="3" width="23.8984375" bestFit="1" customWidth="1"/>
    <col min="4" max="4" width="13.8984375" bestFit="1" customWidth="1"/>
    <col min="5" max="5" width="17.3984375" bestFit="1" customWidth="1"/>
    <col min="6" max="6" width="5.8984375" customWidth="1"/>
    <col min="7" max="7" width="5.3984375" bestFit="1" customWidth="1"/>
    <col min="8" max="10" width="7.19921875" bestFit="1" customWidth="1"/>
    <col min="11" max="11" width="5.3984375" bestFit="1" customWidth="1"/>
    <col min="12" max="13" width="7.19921875" bestFit="1" customWidth="1"/>
    <col min="14" max="14" width="20.59765625" bestFit="1" customWidth="1"/>
    <col min="15" max="15" width="6.296875" bestFit="1" customWidth="1"/>
    <col min="16" max="17" width="5.3984375" bestFit="1" customWidth="1"/>
    <col min="18" max="22" width="6.296875" bestFit="1" customWidth="1"/>
    <col min="23" max="23" width="5.3984375" bestFit="1" customWidth="1"/>
    <col min="24" max="25" width="6.296875" bestFit="1" customWidth="1"/>
    <col min="26" max="26" width="12.296875" bestFit="1" customWidth="1"/>
    <col min="27" max="27" width="6.296875" bestFit="1" customWidth="1"/>
    <col min="28" max="28" width="4.5" bestFit="1" customWidth="1"/>
    <col min="29" max="29" width="5.3984375" bestFit="1" customWidth="1"/>
    <col min="30" max="30" width="6.296875" bestFit="1" customWidth="1"/>
    <col min="31" max="35" width="5.3984375" bestFit="1" customWidth="1"/>
    <col min="36" max="37" width="6.296875" bestFit="1" customWidth="1"/>
    <col min="38" max="38" width="15.59765625" bestFit="1" customWidth="1"/>
    <col min="39" max="39" width="5.3984375" bestFit="1" customWidth="1"/>
    <col min="40" max="40" width="4.5" bestFit="1" customWidth="1"/>
    <col min="41" max="48" width="5.3984375" bestFit="1" customWidth="1"/>
    <col min="49" max="49" width="6.296875" bestFit="1" customWidth="1"/>
    <col min="50" max="50" width="20.09765625" bestFit="1" customWidth="1"/>
    <col min="51" max="51" width="24.8984375" bestFit="1" customWidth="1"/>
    <col min="52" max="52" width="16.59765625" bestFit="1" customWidth="1"/>
    <col min="53" max="53" width="19.8984375" bestFit="1" customWidth="1"/>
  </cols>
  <sheetData>
    <row r="3" spans="1:5" x14ac:dyDescent="0.25">
      <c r="A3" s="2" t="s">
        <v>105</v>
      </c>
      <c r="B3" t="s">
        <v>107</v>
      </c>
      <c r="C3" t="s">
        <v>108</v>
      </c>
      <c r="D3" t="s">
        <v>109</v>
      </c>
      <c r="E3" t="s">
        <v>110</v>
      </c>
    </row>
    <row r="4" spans="1:5" x14ac:dyDescent="0.25">
      <c r="A4" s="3" t="s">
        <v>92</v>
      </c>
      <c r="B4" s="1">
        <v>1269.47</v>
      </c>
      <c r="C4" s="1">
        <v>151.74</v>
      </c>
      <c r="D4" s="1">
        <v>47.76</v>
      </c>
      <c r="E4" s="1">
        <v>57.230000000000004</v>
      </c>
    </row>
    <row r="5" spans="1:5" x14ac:dyDescent="0.25">
      <c r="A5" s="3" t="s">
        <v>93</v>
      </c>
      <c r="B5" s="1">
        <v>1446.89</v>
      </c>
      <c r="C5" s="1">
        <v>187.84</v>
      </c>
      <c r="D5" s="1">
        <v>56.010000000000005</v>
      </c>
      <c r="E5" s="1">
        <v>61.169999999999995</v>
      </c>
    </row>
    <row r="6" spans="1:5" x14ac:dyDescent="0.25">
      <c r="A6" s="3" t="s">
        <v>94</v>
      </c>
      <c r="B6" s="1">
        <v>1904.88</v>
      </c>
      <c r="C6" s="1">
        <v>171.62</v>
      </c>
      <c r="D6" s="1">
        <v>61.62</v>
      </c>
      <c r="E6" s="1">
        <v>104.41000000000001</v>
      </c>
    </row>
    <row r="7" spans="1:5" x14ac:dyDescent="0.25">
      <c r="A7" s="3" t="s">
        <v>95</v>
      </c>
      <c r="B7" s="1">
        <v>1312.81</v>
      </c>
      <c r="C7" s="1">
        <v>150.98000000000002</v>
      </c>
      <c r="D7" s="1">
        <v>52.27</v>
      </c>
      <c r="E7" s="1">
        <v>54.09</v>
      </c>
    </row>
    <row r="8" spans="1:5" x14ac:dyDescent="0.25">
      <c r="A8" s="3" t="s">
        <v>100</v>
      </c>
      <c r="B8" s="1">
        <v>1766.27</v>
      </c>
      <c r="C8" s="1">
        <v>171.64</v>
      </c>
      <c r="D8" s="1">
        <v>70.72</v>
      </c>
      <c r="E8" s="1">
        <v>93.05</v>
      </c>
    </row>
    <row r="9" spans="1:5" x14ac:dyDescent="0.25">
      <c r="A9" s="3" t="s">
        <v>101</v>
      </c>
      <c r="B9" s="1">
        <v>1648</v>
      </c>
      <c r="C9" s="1">
        <v>234.96999999999997</v>
      </c>
      <c r="D9" s="1">
        <v>71.72999999999999</v>
      </c>
      <c r="E9" s="1">
        <v>41.330000000000005</v>
      </c>
    </row>
    <row r="10" spans="1:5" x14ac:dyDescent="0.25">
      <c r="A10" s="3" t="s">
        <v>102</v>
      </c>
      <c r="B10" s="1">
        <v>848</v>
      </c>
      <c r="C10" s="1">
        <v>116.2</v>
      </c>
      <c r="D10" s="1">
        <v>50.9</v>
      </c>
      <c r="E10" s="1">
        <v>31.090000000000003</v>
      </c>
    </row>
    <row r="11" spans="1:5" x14ac:dyDescent="0.25">
      <c r="A11" s="3" t="s">
        <v>103</v>
      </c>
      <c r="B11" s="1">
        <v>1201</v>
      </c>
      <c r="C11" s="1">
        <v>140.68</v>
      </c>
      <c r="D11" s="1">
        <v>69.039999999999992</v>
      </c>
      <c r="E11" s="1">
        <v>37.61</v>
      </c>
    </row>
    <row r="12" spans="1:5" x14ac:dyDescent="0.25">
      <c r="A12" s="3" t="s">
        <v>96</v>
      </c>
      <c r="B12" s="1">
        <v>979</v>
      </c>
      <c r="C12" s="1">
        <v>127.69999999999999</v>
      </c>
      <c r="D12" s="1">
        <v>52.400000000000006</v>
      </c>
      <c r="E12" s="1">
        <v>41.2</v>
      </c>
    </row>
    <row r="13" spans="1:5" x14ac:dyDescent="0.25">
      <c r="A13" s="3" t="s">
        <v>97</v>
      </c>
      <c r="B13" s="1">
        <v>1153</v>
      </c>
      <c r="C13" s="1">
        <v>142.04</v>
      </c>
      <c r="D13" s="1">
        <v>56.86</v>
      </c>
      <c r="E13" s="1">
        <v>45.56</v>
      </c>
    </row>
    <row r="14" spans="1:5" x14ac:dyDescent="0.25">
      <c r="A14" s="3" t="s">
        <v>98</v>
      </c>
      <c r="B14" s="1">
        <v>926</v>
      </c>
      <c r="C14" s="1">
        <v>87.1</v>
      </c>
      <c r="D14" s="1">
        <v>67.3</v>
      </c>
      <c r="E14" s="1">
        <v>41.29</v>
      </c>
    </row>
    <row r="15" spans="1:5" x14ac:dyDescent="0.25">
      <c r="A15" s="3" t="s">
        <v>99</v>
      </c>
      <c r="B15" s="1">
        <v>1435</v>
      </c>
      <c r="C15" s="1">
        <v>141</v>
      </c>
      <c r="D15" s="1">
        <v>66.900000000000006</v>
      </c>
      <c r="E15" s="1">
        <v>66.59</v>
      </c>
    </row>
    <row r="16" spans="1:5" x14ac:dyDescent="0.25">
      <c r="A16" s="3" t="s">
        <v>88</v>
      </c>
      <c r="B16" s="1">
        <v>1766.27</v>
      </c>
      <c r="C16" s="1">
        <v>171.64</v>
      </c>
      <c r="D16" s="1">
        <v>70.72</v>
      </c>
      <c r="E16" s="1">
        <v>93.05</v>
      </c>
    </row>
    <row r="17" spans="1:5" x14ac:dyDescent="0.25">
      <c r="A17" s="3" t="s">
        <v>89</v>
      </c>
      <c r="B17" s="1">
        <v>1648</v>
      </c>
      <c r="C17" s="1">
        <v>234.96999999999997</v>
      </c>
      <c r="D17" s="1">
        <v>71.72999999999999</v>
      </c>
      <c r="E17" s="1">
        <v>41.330000000000005</v>
      </c>
    </row>
    <row r="18" spans="1:5" x14ac:dyDescent="0.25">
      <c r="A18" s="3" t="s">
        <v>90</v>
      </c>
      <c r="B18" s="1">
        <v>848</v>
      </c>
      <c r="C18" s="1">
        <v>116.2</v>
      </c>
      <c r="D18" s="1">
        <v>50.9</v>
      </c>
      <c r="E18" s="1">
        <v>31.090000000000003</v>
      </c>
    </row>
    <row r="19" spans="1:5" x14ac:dyDescent="0.25">
      <c r="A19" s="3" t="s">
        <v>91</v>
      </c>
      <c r="B19" s="1">
        <v>1201</v>
      </c>
      <c r="C19" s="1">
        <v>140.68</v>
      </c>
      <c r="D19" s="1">
        <v>69.039999999999992</v>
      </c>
      <c r="E19" s="1">
        <v>37.61</v>
      </c>
    </row>
    <row r="20" spans="1:5" x14ac:dyDescent="0.25">
      <c r="A20" s="3" t="s">
        <v>106</v>
      </c>
      <c r="B20" s="1">
        <v>21353.59</v>
      </c>
      <c r="C20" s="1">
        <v>2486.9999999999995</v>
      </c>
      <c r="D20" s="1">
        <v>985.89999999999986</v>
      </c>
      <c r="E20" s="1">
        <v>877.7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E17"/>
  <sheetViews>
    <sheetView workbookViewId="0">
      <selection activeCell="C13" sqref="C13"/>
    </sheetView>
  </sheetViews>
  <sheetFormatPr defaultRowHeight="13.8" x14ac:dyDescent="0.25"/>
  <cols>
    <col min="1" max="1" width="13.296875" customWidth="1"/>
    <col min="2" max="2" width="13" customWidth="1"/>
    <col min="3" max="3" width="18.3984375" customWidth="1"/>
    <col min="4" max="4" width="9.296875" customWidth="1"/>
    <col min="5" max="5" width="12.796875" customWidth="1"/>
    <col min="6" max="6" width="10.3984375" customWidth="1"/>
    <col min="7" max="9" width="9.3984375" customWidth="1"/>
    <col min="10" max="14" width="10.296875" customWidth="1"/>
  </cols>
  <sheetData>
    <row r="1" spans="1:5" x14ac:dyDescent="0.25">
      <c r="A1" t="s">
        <v>37</v>
      </c>
      <c r="B1" t="s">
        <v>104</v>
      </c>
      <c r="C1" t="s">
        <v>3</v>
      </c>
      <c r="D1" t="s">
        <v>5</v>
      </c>
      <c r="E1" t="s">
        <v>4</v>
      </c>
    </row>
    <row r="2" spans="1:5" x14ac:dyDescent="0.25">
      <c r="A2" t="s">
        <v>88</v>
      </c>
      <c r="B2">
        <f>SUM(Menu!C30,Menu!C14,Menu!C11,Menu!C22,Menu!C12,Menu!C39,Menu!C42,Menu!C13,Menu!C10)</f>
        <v>1766.27</v>
      </c>
      <c r="C2">
        <f>SUM(Menu!D29,Menu!D13,Menu!D10,Menu!D21,Menu!D11,Menu!D38,Menu!D41,Menu!D12,Menu!D9)</f>
        <v>171.64</v>
      </c>
      <c r="D2">
        <f>SUM(Menu!E30,Menu!E14,Menu!E11,Menu!E22,Menu!E12,Menu!E39,Menu!E42,Menu!E13,Menu!E10)</f>
        <v>70.72</v>
      </c>
      <c r="E2">
        <f>SUM(Menu!F30,Menu!F14,Menu!F11,Menu!F22,Menu!F12,Menu!F39,Menu!F42,Menu!F13,Menu!F10)</f>
        <v>93.05</v>
      </c>
    </row>
    <row r="3" spans="1:5" x14ac:dyDescent="0.25">
      <c r="A3" t="s">
        <v>89</v>
      </c>
      <c r="B3">
        <f>SUM(Menu!C29,Menu!C14,Menu!C23,Menu!C21,Menu!C9,Menu!C39,Menu!C12,Menu!C9)</f>
        <v>1648</v>
      </c>
      <c r="C3">
        <f>SUM(Menu!D29,Menu!D14,Menu!D23,Menu!D21,Menu!D9,Menu!D39,Menu!D12,Menu!D9)</f>
        <v>234.96999999999997</v>
      </c>
      <c r="D3">
        <f>SUM(Menu!E29,Menu!E14,Menu!E23,Menu!E21,Menu!E9,Menu!E39,Menu!E12,Menu!E9)</f>
        <v>71.72999999999999</v>
      </c>
      <c r="E3">
        <f>SUM(Menu!F29,Menu!F14,Menu!F23,Menu!F21,Menu!F9,Menu!F39,Menu!F12,Menu!F9)</f>
        <v>41.330000000000005</v>
      </c>
    </row>
    <row r="4" spans="1:5" x14ac:dyDescent="0.25">
      <c r="A4" t="s">
        <v>90</v>
      </c>
      <c r="B4">
        <f>SUM(Menu!C29,Menu!C8,Menu!C15,Menu!C23,Menu!C21,Menu!C40,Menu!C15)</f>
        <v>848</v>
      </c>
      <c r="C4">
        <f>SUM(Menu!D29,Menu!D8,Menu!D15,Menu!D23,Menu!D21,Menu!D40,Menu!D15)</f>
        <v>116.2</v>
      </c>
      <c r="D4">
        <f>SUM(Menu!E29,Menu!E8,Menu!E15,Menu!E23,Menu!E21,Menu!E40,Menu!E15)</f>
        <v>50.9</v>
      </c>
      <c r="E4">
        <f>SUM(Menu!F29,Menu!F8,Menu!F15,Menu!F23,Menu!F21,Menu!F40,Menu!F15)</f>
        <v>31.090000000000003</v>
      </c>
    </row>
    <row r="5" spans="1:5" x14ac:dyDescent="0.25">
      <c r="A5" t="s">
        <v>91</v>
      </c>
      <c r="B5">
        <f>SUM(Menu!C29,Menu!C27,Menu!C21,Menu!C11,Menu!C19,Menu!C23,Menu!C14)</f>
        <v>1201</v>
      </c>
      <c r="C5">
        <f>SUM(Menu!D29,Menu!D27,Menu!D21,Menu!D11,Menu!D19,Menu!D23,Menu!D14)</f>
        <v>140.68</v>
      </c>
      <c r="D5">
        <f>SUM(Menu!E29,Menu!E27,Menu!E21,Menu!E11,Menu!E19,Menu!E23,Menu!E14)</f>
        <v>69.039999999999992</v>
      </c>
      <c r="E5">
        <f>SUM(Menu!F29,Menu!F27,Menu!F21,Menu!F11,Menu!F19,Menu!F23,Menu!F14)</f>
        <v>37.61</v>
      </c>
    </row>
    <row r="6" spans="1:5" x14ac:dyDescent="0.25">
      <c r="A6" t="s">
        <v>92</v>
      </c>
      <c r="B6">
        <f>SUM(Menu!C28,Menu!C30,Menu!C16,Menu!C34,Menu!C16)</f>
        <v>1269.47</v>
      </c>
      <c r="C6">
        <f>SUM(Menu!D28,Menu!D30,Menu!D16,Menu!D34,Menu!D16)</f>
        <v>151.74</v>
      </c>
      <c r="D6">
        <f>SUM(Menu!E28,Menu!E30,Menu!E16,Menu!E34,Menu!E16)</f>
        <v>47.76</v>
      </c>
      <c r="E6">
        <f>SUM(Menu!F28,Menu!F30,Menu!F16,Menu!F34,Menu!F16)</f>
        <v>57.230000000000004</v>
      </c>
    </row>
    <row r="7" spans="1:5" x14ac:dyDescent="0.25">
      <c r="A7" t="s">
        <v>93</v>
      </c>
      <c r="B7">
        <f>SUM(Menu!C28,Menu!C32,Menu!C18,Menu!C18,Menu!C36)</f>
        <v>1446.89</v>
      </c>
      <c r="C7">
        <f>SUM(Menu!D28,Menu!D32,Menu!D18,Menu!D18,Menu!D36)</f>
        <v>187.84</v>
      </c>
      <c r="D7">
        <f>SUM(Menu!E28,Menu!E32,Menu!E18,Menu!E18,Menu!E36)</f>
        <v>56.010000000000005</v>
      </c>
      <c r="E7">
        <f>SUM(Menu!F28,Menu!F32,Menu!F18,Menu!F18,Menu!F36)</f>
        <v>61.169999999999995</v>
      </c>
    </row>
    <row r="8" spans="1:5" x14ac:dyDescent="0.25">
      <c r="A8" t="s">
        <v>94</v>
      </c>
      <c r="B8">
        <f>SUM(Menu!C31,Menu!C17,Menu!C35,Menu!C17)</f>
        <v>1904.88</v>
      </c>
      <c r="C8">
        <f>SUM(Menu!D31,Menu!D17,Menu!D35,Menu!D17)</f>
        <v>171.62</v>
      </c>
      <c r="D8">
        <f>SUM(Menu!E31,Menu!E17,Menu!E35,Menu!E17)</f>
        <v>61.62</v>
      </c>
      <c r="E8">
        <f>SUM(Menu!F31,Menu!F17,Menu!F35,Menu!F17)</f>
        <v>104.41000000000001</v>
      </c>
    </row>
    <row r="9" spans="1:5" x14ac:dyDescent="0.25">
      <c r="A9" t="s">
        <v>95</v>
      </c>
      <c r="B9">
        <f>SUM(Menu!C33,Menu!C24,Menu!C37,Menu!C24)</f>
        <v>1312.81</v>
      </c>
      <c r="C9">
        <f>SUM(Menu!D33,Menu!D24,Menu!D37,Menu!D24)</f>
        <v>150.98000000000002</v>
      </c>
      <c r="D9">
        <f>SUM(Menu!E33,Menu!E24,Menu!E37,Menu!E24)</f>
        <v>52.27</v>
      </c>
      <c r="E9">
        <f>SUM(Menu!F33,Menu!F24,Menu!F37,Menu!F24)</f>
        <v>54.09</v>
      </c>
    </row>
    <row r="10" spans="1:5" x14ac:dyDescent="0.25">
      <c r="A10" t="s">
        <v>96</v>
      </c>
      <c r="B10">
        <f>SUM(Menu!C29,Menu!C4,Menu!C25,Menu!C15,Menu!C8)</f>
        <v>979</v>
      </c>
      <c r="C10">
        <f>SUM(Menu!D29,Menu!D4,Menu!D25,Menu!D15,Menu!D8)</f>
        <v>127.69999999999999</v>
      </c>
      <c r="D10">
        <f>SUM(Menu!E29,Menu!E4,Menu!E25,Menu!E15,Menu!E8)</f>
        <v>52.400000000000006</v>
      </c>
      <c r="E10">
        <f>SUM(Menu!F29,Menu!F4,Menu!F25,Menu!F15,Menu!F8)</f>
        <v>41.2</v>
      </c>
    </row>
    <row r="11" spans="1:5" x14ac:dyDescent="0.25">
      <c r="A11" t="s">
        <v>97</v>
      </c>
      <c r="B11">
        <f>SUM(Menu!C2,Menu!C7,Menu!C8,Menu!C9,Menu!C2,Menu!C25)</f>
        <v>1153</v>
      </c>
      <c r="C11">
        <f>SUM(Menu!D2,Menu!D7,Menu!D8,Menu!D9,Menu!D2,Menu!D25)</f>
        <v>142.04</v>
      </c>
      <c r="D11">
        <f>SUM(Menu!E2,Menu!E7,Menu!E8,Menu!E9,Menu!E2,Menu!E25)</f>
        <v>56.86</v>
      </c>
      <c r="E11">
        <f>SUM(Menu!F2,Menu!F7,Menu!F8,Menu!F9,Menu!F2,Menu!F25)</f>
        <v>45.56</v>
      </c>
    </row>
    <row r="12" spans="1:5" x14ac:dyDescent="0.25">
      <c r="A12" t="s">
        <v>98</v>
      </c>
      <c r="B12">
        <f>SUM(Menu!C3,Menu!C19,Menu!C8,Menu!C15,Menu!C19,Menu!C11,Menu!C21)</f>
        <v>926</v>
      </c>
      <c r="C12">
        <f>SUM(Menu!D3,Menu!D19,Menu!D8,Menu!D15,Menu!D19,Menu!D11,Menu!D21)</f>
        <v>87.1</v>
      </c>
      <c r="D12">
        <f>SUM(Menu!E3,Menu!E19,Menu!E8,Menu!E15,Menu!E19,Menu!E11,Menu!E21)</f>
        <v>67.3</v>
      </c>
      <c r="E12">
        <f>SUM(Menu!F3,Menu!F19,Menu!F8,Menu!F15,Menu!F19,Menu!F11,Menu!F21)</f>
        <v>41.29</v>
      </c>
    </row>
    <row r="13" spans="1:5" x14ac:dyDescent="0.25">
      <c r="A13" t="s">
        <v>99</v>
      </c>
      <c r="B13">
        <f>SUM(Menu!C3,Menu!C19,Menu!C21,Menu!C11,Menu!C42,Menu!C8,Menu!C9)</f>
        <v>1435</v>
      </c>
      <c r="C13">
        <f>SUM(Menu!D3,Menu!D19,Menu!D21,Menu!D11,Menu!D42,Menu!D8,Menu!D9)</f>
        <v>141</v>
      </c>
      <c r="D13">
        <f>SUM(Menu!E3,Menu!E19,Menu!E21,Menu!E11,Menu!E42,Menu!E8,Menu!E9)</f>
        <v>66.900000000000006</v>
      </c>
      <c r="E13">
        <f>SUM(Menu!F3,Menu!F19,Menu!F21,Menu!F11,Menu!F42,Menu!F8,Menu!F9)</f>
        <v>66.59</v>
      </c>
    </row>
    <row r="14" spans="1:5" x14ac:dyDescent="0.25">
      <c r="A14" t="s">
        <v>100</v>
      </c>
      <c r="B14">
        <f>SUM(Menu!C30,Menu!C14,Menu!C11,Menu!C22,Menu!C12,Menu!C39,Menu!C42,Menu!C13,Menu!C10)</f>
        <v>1766.27</v>
      </c>
      <c r="C14">
        <f>SUM(Menu!D29,Menu!D13,Menu!D10,Menu!D21,Menu!D11,Menu!D38,Menu!D41,Menu!D12,Menu!D9)</f>
        <v>171.64</v>
      </c>
      <c r="D14">
        <f>SUM(Menu!E30,Menu!E14,Menu!E11,Menu!E22,Menu!E12,Menu!E39,Menu!E42,Menu!E13,Menu!E10)</f>
        <v>70.72</v>
      </c>
      <c r="E14">
        <f>SUM(Menu!F30,Menu!F14,Menu!F11,Menu!F22,Menu!F12,Menu!F39,Menu!F42,Menu!F13,Menu!F10)</f>
        <v>93.05</v>
      </c>
    </row>
    <row r="15" spans="1:5" x14ac:dyDescent="0.25">
      <c r="A15" t="s">
        <v>101</v>
      </c>
      <c r="B15">
        <f>SUM(Menu!C29,Menu!C14,Menu!C23,Menu!C21,Menu!C9,Menu!C39,Menu!C12,Menu!C9)</f>
        <v>1648</v>
      </c>
      <c r="C15">
        <f>SUM(Menu!D29,Menu!D14,Menu!D23,Menu!D21,Menu!D9,Menu!D39,Menu!D12,Menu!D9)</f>
        <v>234.96999999999997</v>
      </c>
      <c r="D15">
        <f>SUM(Menu!E29,Menu!E14,Menu!E23,Menu!E21,Menu!E9,Menu!E39,Menu!E12,Menu!E9)</f>
        <v>71.72999999999999</v>
      </c>
      <c r="E15">
        <f>SUM(Menu!F29,Menu!F14,Menu!F23,Menu!F21,Menu!F9,Menu!F39,Menu!F12,Menu!F9)</f>
        <v>41.330000000000005</v>
      </c>
    </row>
    <row r="16" spans="1:5" x14ac:dyDescent="0.25">
      <c r="A16" t="s">
        <v>102</v>
      </c>
      <c r="B16">
        <f>SUM(Menu!C29,Menu!C8,Menu!C15,Menu!C23,Menu!C21,Menu!C40,Menu!C15)</f>
        <v>848</v>
      </c>
      <c r="C16">
        <f>SUM(Menu!D29,Menu!D8,Menu!D15,Menu!D23,Menu!D21,Menu!D40,Menu!D15)</f>
        <v>116.2</v>
      </c>
      <c r="D16">
        <f>SUM(Menu!E29,Menu!E8,Menu!E15,Menu!E23,Menu!E21,Menu!E40,Menu!E15)</f>
        <v>50.9</v>
      </c>
      <c r="E16">
        <f>SUM(Menu!F29,Menu!F8,Menu!F15,Menu!F23,Menu!F21,Menu!F40,Menu!F15)</f>
        <v>31.090000000000003</v>
      </c>
    </row>
    <row r="17" spans="1:5" x14ac:dyDescent="0.25">
      <c r="A17" t="s">
        <v>103</v>
      </c>
      <c r="B17">
        <f>SUM(Menu!C29,Menu!C27,Menu!C21,Menu!C11,Menu!C19,Menu!C23,Menu!C14)</f>
        <v>1201</v>
      </c>
      <c r="C17">
        <f>SUM(Menu!D29,Menu!D27,Menu!D21,Menu!D11,Menu!D19,Menu!D23,Menu!D14)</f>
        <v>140.68</v>
      </c>
      <c r="D17">
        <f>SUM(Menu!E29,Menu!E27,Menu!E21,Menu!E11,Menu!E19,Menu!E23,Menu!E14)</f>
        <v>69.039999999999992</v>
      </c>
      <c r="E17">
        <f>SUM(Menu!F29,Menu!F27,Menu!F21,Menu!F11,Menu!F19,Menu!F23,Menu!F14)</f>
        <v>37.61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
  <sheetViews>
    <sheetView showGridLines="0" tabSelected="1" topLeftCell="A4" workbookViewId="0">
      <selection activeCell="N27" sqref="N27"/>
    </sheetView>
  </sheetViews>
  <sheetFormatPr defaultRowHeight="13.8" x14ac:dyDescent="0.25"/>
  <sheetData/>
  <pageMargins left="0.7" right="0.7" top="0.75" bottom="0.75" header="0.3" footer="0.3"/>
  <drawing r:id="rId1"/>
  <picture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Menu</vt:lpstr>
      <vt:lpstr>Person</vt:lpstr>
      <vt:lpstr>Food_intake</vt:lpstr>
      <vt:lpstr>Pivot_Table</vt:lpstr>
      <vt:lpstr>Calorie_in_Take</vt:lpstr>
      <vt:lpstr>Pivot_chart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Rohit SK</dc:creator>
  <cp:lastModifiedBy>Rohit SK</cp:lastModifiedBy>
  <dcterms:created xsi:type="dcterms:W3CDTF">2022-09-13T14:01:27Z</dcterms:created>
  <dcterms:modified xsi:type="dcterms:W3CDTF">2022-09-14T06:04:11Z</dcterms:modified>
</cp:coreProperties>
</file>